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yandaamillano/Downloads/"/>
    </mc:Choice>
  </mc:AlternateContent>
  <xr:revisionPtr revIDLastSave="0" documentId="13_ncr:1_{7088BC07-C435-B447-91E4-0974456275A6}" xr6:coauthVersionLast="47" xr6:coauthVersionMax="47" xr10:uidLastSave="{00000000-0000-0000-0000-000000000000}"/>
  <bookViews>
    <workbookView xWindow="0" yWindow="500" windowWidth="25600" windowHeight="14320" xr2:uid="{00000000-000D-0000-FFFF-FFFF00000000}"/>
  </bookViews>
  <sheets>
    <sheet name="table 1" sheetId="2" r:id="rId1"/>
    <sheet name="table 2" sheetId="3" r:id="rId2"/>
    <sheet name="table 3" sheetId="4" r:id="rId3"/>
    <sheet name="table 4" sheetId="5" r:id="rId4"/>
  </sheets>
  <definedNames>
    <definedName name="_IDX10" localSheetId="0">'table 1'!#REF!</definedName>
    <definedName name="_IDX11" localSheetId="0">'table 1'!#REF!</definedName>
    <definedName name="_IDX12" localSheetId="0">'table 1'!#REF!</definedName>
    <definedName name="_IDX12" localSheetId="1">'table 2'!#REF!</definedName>
    <definedName name="_IDX13" localSheetId="0">'table 1'!#REF!</definedName>
    <definedName name="_IDX13" localSheetId="1">'table 2'!#REF!</definedName>
    <definedName name="_IDX14" localSheetId="0">'table 1'!#REF!</definedName>
    <definedName name="_IDX14" localSheetId="1">'table 2'!#REF!</definedName>
    <definedName name="_IDX15" localSheetId="0">'table 1'!#REF!</definedName>
    <definedName name="_IDX15" localSheetId="1">'table 2'!#REF!</definedName>
    <definedName name="_IDX16" localSheetId="3">'table 4'!#REF!</definedName>
    <definedName name="_IDX17" localSheetId="0">'table 1'!#REF!</definedName>
    <definedName name="_IDX17" localSheetId="1">'table 2'!#REF!</definedName>
    <definedName name="_IDX18" localSheetId="0">'table 1'!#REF!</definedName>
    <definedName name="_IDX18" localSheetId="1">'table 2'!#REF!</definedName>
    <definedName name="_IDX19" localSheetId="0">'table 1'!#REF!</definedName>
    <definedName name="_IDX19" localSheetId="1">'table 2'!#REF!</definedName>
    <definedName name="_IDX20" localSheetId="0">'table 1'!#REF!</definedName>
    <definedName name="_IDX20" localSheetId="1">'table 2'!#REF!</definedName>
    <definedName name="_IDX21" localSheetId="0">'table 1'!#REF!</definedName>
    <definedName name="_IDX21" localSheetId="1">'table 2'!#REF!</definedName>
    <definedName name="_IDX22" localSheetId="0">'table 1'!#REF!</definedName>
    <definedName name="_IDX22" localSheetId="1">'table 2'!#REF!</definedName>
    <definedName name="_IDX23" localSheetId="0">'table 1'!#REF!</definedName>
    <definedName name="_IDX23" localSheetId="1">'table 2'!#REF!</definedName>
    <definedName name="_IDX24" localSheetId="0">'table 1'!#REF!</definedName>
    <definedName name="_IDX24" localSheetId="1">'table 2'!#REF!</definedName>
    <definedName name="_IDX25" localSheetId="0">'table 1'!#REF!</definedName>
    <definedName name="_IDX25" localSheetId="1">'table 2'!#REF!</definedName>
    <definedName name="_IDX28" localSheetId="2">'table 3'!#REF!</definedName>
    <definedName name="_IDX28" localSheetId="3">'table 4'!#REF!</definedName>
    <definedName name="_IDX29" localSheetId="2">'table 3'!#REF!</definedName>
    <definedName name="_IDX29" localSheetId="3">'table 4'!#REF!</definedName>
    <definedName name="_IDX30" localSheetId="2">'table 3'!#REF!</definedName>
    <definedName name="_IDX30" localSheetId="3">'table 4'!#REF!</definedName>
    <definedName name="_IDX31" localSheetId="2">'table 3'!#REF!</definedName>
    <definedName name="_IDX31" localSheetId="3">'table 4'!#REF!</definedName>
    <definedName name="_IDX32" localSheetId="2">'table 3'!#REF!</definedName>
    <definedName name="_IDX32" localSheetId="3">'table 4'!#REF!</definedName>
    <definedName name="_IDX33" localSheetId="2">'table 3'!#REF!</definedName>
    <definedName name="_IDX33" localSheetId="3">'table 4'!#REF!</definedName>
    <definedName name="_IDX36" localSheetId="3">'table 4'!#REF!</definedName>
    <definedName name="_IDX37" localSheetId="3">'table 4'!#REF!</definedName>
    <definedName name="_IDX38" localSheetId="1">'table 2'!#REF!</definedName>
    <definedName name="_IDX39" localSheetId="1">'table 2'!#REF!</definedName>
    <definedName name="_IDX40" localSheetId="1">'table 2'!#REF!</definedName>
    <definedName name="_IDX41" localSheetId="1">'table 2'!#REF!</definedName>
    <definedName name="_IDX42" localSheetId="1">'table 2'!#REF!</definedName>
    <definedName name="_IDX43" localSheetId="1">'table 2'!#REF!</definedName>
    <definedName name="_IDX44" localSheetId="1">'table 2'!#REF!</definedName>
    <definedName name="_IDX45" localSheetId="1">'table 2'!#REF!</definedName>
    <definedName name="_IDX46" localSheetId="1">'table 2'!#REF!</definedName>
    <definedName name="_IDX47" localSheetId="3">'table 4'!#REF!</definedName>
    <definedName name="_IDX48" localSheetId="1">'table 2'!#REF!</definedName>
    <definedName name="_IDX49" localSheetId="1">'table 2'!#REF!</definedName>
    <definedName name="_IDX50" localSheetId="1">'table 2'!#REF!</definedName>
    <definedName name="_IDX51" localSheetId="1">'table 2'!#REF!</definedName>
    <definedName name="_IDX52" localSheetId="1">'table 2'!#REF!</definedName>
    <definedName name="_IDX53" localSheetId="1">'table 2'!#REF!</definedName>
    <definedName name="_IDX54" localSheetId="1">'table 2'!#REF!</definedName>
    <definedName name="_IDX55" localSheetId="1">'table 2'!#REF!</definedName>
    <definedName name="_IDX56" localSheetId="1">'table 2'!#REF!</definedName>
    <definedName name="_IDX57" localSheetId="1">'table 2'!#REF!</definedName>
    <definedName name="_IDX58" localSheetId="1">'table 2'!#REF!</definedName>
    <definedName name="_IDX59" localSheetId="1">'table 2'!#REF!</definedName>
    <definedName name="_IDX60" localSheetId="1">'table 2'!#REF!</definedName>
    <definedName name="_IDX61" localSheetId="1">'table 2'!#REF!</definedName>
    <definedName name="_IDX62" localSheetId="1">'table 2'!#REF!</definedName>
    <definedName name="_IDX63" localSheetId="1">'table 2'!#REF!</definedName>
    <definedName name="_IDX64" localSheetId="1">'table 2'!#REF!</definedName>
    <definedName name="_IDX65" localSheetId="1">'table 2'!#REF!</definedName>
    <definedName name="_IDX7" localSheetId="0">'table 1'!#REF!</definedName>
    <definedName name="_IDX8" localSheetId="0">'table 1'!#REF!</definedName>
    <definedName name="_IDX9" localSheetId="0">'table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B26" i="3"/>
  <c r="C26" i="3"/>
  <c r="B27" i="3"/>
  <c r="C27" i="3"/>
  <c r="B28" i="3"/>
  <c r="C8" i="3"/>
  <c r="B8" i="3"/>
</calcChain>
</file>

<file path=xl/sharedStrings.xml><?xml version="1.0" encoding="utf-8"?>
<sst xmlns="http://schemas.openxmlformats.org/spreadsheetml/2006/main" count="125" uniqueCount="68">
  <si>
    <t>Yes</t>
  </si>
  <si>
    <t>No</t>
  </si>
  <si>
    <t>Missing</t>
  </si>
  <si>
    <t>12-14</t>
  </si>
  <si>
    <t>15-19</t>
  </si>
  <si>
    <t>20-24</t>
  </si>
  <si>
    <t>25-29</t>
  </si>
  <si>
    <t>30-34</t>
  </si>
  <si>
    <t>35-39</t>
  </si>
  <si>
    <t>40-44</t>
  </si>
  <si>
    <t>45-50</t>
  </si>
  <si>
    <t>African American</t>
  </si>
  <si>
    <t>White</t>
  </si>
  <si>
    <t>American Indian/Alaska Native</t>
  </si>
  <si>
    <t>Asian</t>
  </si>
  <si>
    <t>Hawaiian/Pacific Islander</t>
  </si>
  <si>
    <t>Hispanic</t>
  </si>
  <si>
    <t>Multi-racial</t>
  </si>
  <si>
    <t xml:space="preserve">No </t>
  </si>
  <si>
    <t>Maternal age, years</t>
  </si>
  <si>
    <t>No.</t>
  </si>
  <si>
    <t>%</t>
  </si>
  <si>
    <t>Maternal race/ethnicity</t>
  </si>
  <si>
    <t>Mother smoked during pregnancy</t>
  </si>
  <si>
    <r>
      <rPr>
        <vertAlign val="superscript"/>
        <sz val="10"/>
        <color indexed="8"/>
        <rFont val="Arial"/>
        <family val="2"/>
      </rPr>
      <t>a</t>
    </r>
    <r>
      <rPr>
        <sz val="10"/>
        <color theme="1"/>
        <rFont val="Arial"/>
        <family val="2"/>
      </rPr>
      <t>Only births reported on the 2003 revised U.S. Standard Birth Certificate were eligible</t>
    </r>
  </si>
  <si>
    <t>Prenatal care prior to month 5</t>
  </si>
  <si>
    <r>
      <t>Preterm</t>
    </r>
    <r>
      <rPr>
        <vertAlign val="superscript"/>
        <sz val="10"/>
        <color indexed="8"/>
        <rFont val="Arial"/>
        <family val="2"/>
      </rPr>
      <t>c</t>
    </r>
  </si>
  <si>
    <t>Birth</t>
  </si>
  <si>
    <t>n</t>
  </si>
  <si>
    <t>s.d.</t>
  </si>
  <si>
    <t>mean</t>
  </si>
  <si>
    <t>median</t>
  </si>
  <si>
    <t>25th percentile</t>
  </si>
  <si>
    <t>75th percentile</t>
  </si>
  <si>
    <t>minimum</t>
  </si>
  <si>
    <t>maximum</t>
  </si>
  <si>
    <t># missing</t>
  </si>
  <si>
    <t>Skewness</t>
  </si>
  <si>
    <t>Kurtosis</t>
  </si>
  <si>
    <t>Statistic</t>
  </si>
  <si>
    <t>p-value</t>
  </si>
  <si>
    <t>Kolmogorov-Smirnov Test for Normality</t>
  </si>
  <si>
    <t>All</t>
  </si>
  <si>
    <t>Term</t>
  </si>
  <si>
    <t>Pregnancy Outcome</t>
  </si>
  <si>
    <t>Entry into Prenatal Care</t>
  </si>
  <si>
    <t>Not Early</t>
  </si>
  <si>
    <r>
      <t>Preterm</t>
    </r>
    <r>
      <rPr>
        <b/>
        <vertAlign val="superscript"/>
        <sz val="10"/>
        <color indexed="8"/>
        <rFont val="Arial"/>
        <family val="2"/>
      </rPr>
      <t>a</t>
    </r>
  </si>
  <si>
    <r>
      <t>Early</t>
    </r>
    <r>
      <rPr>
        <b/>
        <vertAlign val="superscript"/>
        <sz val="10"/>
        <color indexed="8"/>
        <rFont val="Arial"/>
        <family val="2"/>
      </rPr>
      <t>b</t>
    </r>
  </si>
  <si>
    <r>
      <rPr>
        <vertAlign val="superscript"/>
        <sz val="10"/>
        <color indexed="8"/>
        <rFont val="Arial"/>
        <family val="2"/>
      </rPr>
      <t>c</t>
    </r>
    <r>
      <rPr>
        <sz val="10"/>
        <color theme="1"/>
        <rFont val="Arial"/>
        <family val="2"/>
      </rPr>
      <t>Preterm birth includes live births that occurred at gestational ages 21-36 weeks inclusive</t>
    </r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</si>
  <si>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Preterm birth includes live births that occurred at gestational ages 21-36 weeks inclusive</t>
    </r>
  </si>
  <si>
    <r>
      <rPr>
        <vertAlign val="superscript"/>
        <sz val="10"/>
        <color indexed="8"/>
        <rFont val="Arial"/>
        <family val="2"/>
      </rPr>
      <t>b</t>
    </r>
    <r>
      <rPr>
        <sz val="10"/>
        <color theme="1"/>
        <rFont val="Arial"/>
        <family val="2"/>
      </rPr>
      <t>Preterm birth includes live births that occurred at gestational ages 21-36 weeks inclusive.</t>
    </r>
  </si>
  <si>
    <r>
      <rPr>
        <vertAlign val="superscript"/>
        <sz val="10"/>
        <rFont val="Arial"/>
        <family val="2"/>
      </rPr>
      <t>b</t>
    </r>
    <r>
      <rPr>
        <sz val="10"/>
        <rFont val="Arial"/>
        <family val="2"/>
      </rPr>
      <t>Entry into prenatal care prior to 5 months gestation; not early includes no entry into prenatal care and entry in month 5 or later</t>
    </r>
  </si>
  <si>
    <r>
      <rPr>
        <vertAlign val="superscript"/>
        <sz val="10"/>
        <color indexed="8"/>
        <rFont val="Arial"/>
        <family val="2"/>
      </rPr>
      <t>b</t>
    </r>
    <r>
      <rPr>
        <sz val="10"/>
        <color theme="1"/>
        <rFont val="Arial"/>
        <family val="2"/>
      </rPr>
      <t>Entry into prenatal care prior to 5 months gestation; not early entry includes no entry or entry during month 5 or later</t>
    </r>
  </si>
  <si>
    <r>
      <t>Entry into Prental Care</t>
    </r>
    <r>
      <rPr>
        <b/>
        <vertAlign val="superscript"/>
        <sz val="10"/>
        <color indexed="8"/>
        <rFont val="Arial"/>
        <family val="2"/>
      </rPr>
      <t>b</t>
    </r>
  </si>
  <si>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Gestational age at birth is in weeks; gestational age at entry into prenatal care is in months</t>
    </r>
  </si>
  <si>
    <r>
      <t>Gestational Age</t>
    </r>
    <r>
      <rPr>
        <b/>
        <vertAlign val="superscript"/>
        <sz val="10"/>
        <color indexed="8"/>
        <rFont val="Arial"/>
        <family val="2"/>
      </rPr>
      <t>a</t>
    </r>
    <r>
      <rPr>
        <b/>
        <sz val="10"/>
        <color indexed="8"/>
        <rFont val="Arial"/>
        <family val="2"/>
      </rPr>
      <t xml:space="preserve"> at</t>
    </r>
  </si>
  <si>
    <r>
      <t>Table 1. Characteristics of a Cohort of</t>
    </r>
    <r>
      <rPr>
        <b/>
        <sz val="10"/>
        <color indexed="8"/>
        <rFont val="Arial"/>
        <family val="2"/>
      </rPr>
      <t xml:space="preserve"> U.S., Singleton, Live Births by Preterm Birth Status Based on the 2006 U.S. Birth Certificate Data</t>
    </r>
    <r>
      <rPr>
        <b/>
        <vertAlign val="superscript"/>
        <sz val="10"/>
        <color indexed="8"/>
        <rFont val="Arial"/>
        <family val="2"/>
      </rPr>
      <t>a</t>
    </r>
  </si>
  <si>
    <t>Table 3. Summary Statistics for Gestational Age at Birth and at Entry Into Prenatal Care for All Births</t>
  </si>
  <si>
    <t>Table 4. Summary Statistics for Maternal Age for All Eligible Pregnancies, Stratified on Pregnancy Outcome, and Stratified on Early Entry Into Prenatal Care</t>
  </si>
  <si>
    <r>
      <t xml:space="preserve">Table 2. Characteristics of a Cohort of </t>
    </r>
    <r>
      <rPr>
        <b/>
        <sz val="10"/>
        <color indexed="8"/>
        <rFont val="Arial"/>
        <family val="2"/>
      </rPr>
      <t>U.S., Singleton, Live Births by Entry Into Prenatal Care Based on the 2006 U.S. Birth Certificate Data</t>
    </r>
    <r>
      <rPr>
        <b/>
        <vertAlign val="superscript"/>
        <sz val="10"/>
        <color indexed="8"/>
        <rFont val="Arial"/>
        <family val="2"/>
      </rPr>
      <t>a</t>
    </r>
  </si>
  <si>
    <r>
      <t>Term Births
(n=</t>
    </r>
    <r>
      <rPr>
        <b/>
        <sz val="10"/>
        <color indexed="10"/>
        <rFont val="Arial"/>
        <family val="2"/>
      </rPr>
      <t>49,402</t>
    </r>
    <r>
      <rPr>
        <b/>
        <sz val="10"/>
        <color indexed="8"/>
        <rFont val="Arial"/>
        <family val="2"/>
      </rPr>
      <t>)</t>
    </r>
  </si>
  <si>
    <r>
      <t>Preterm Births</t>
    </r>
    <r>
      <rPr>
        <b/>
        <vertAlign val="superscript"/>
        <sz val="10"/>
        <color indexed="8"/>
        <rFont val="Arial"/>
        <family val="2"/>
      </rPr>
      <t xml:space="preserve">b
</t>
    </r>
    <r>
      <rPr>
        <b/>
        <sz val="10"/>
        <color indexed="8"/>
        <rFont val="Arial"/>
        <family val="2"/>
      </rPr>
      <t>(n=</t>
    </r>
    <r>
      <rPr>
        <b/>
        <sz val="10"/>
        <color rgb="FFFF0000"/>
        <rFont val="Arial"/>
        <family val="2"/>
      </rPr>
      <t>6,309</t>
    </r>
    <r>
      <rPr>
        <b/>
        <sz val="10"/>
        <color indexed="8"/>
        <rFont val="Arial"/>
        <family val="2"/>
      </rPr>
      <t>)</t>
    </r>
  </si>
  <si>
    <r>
      <t>Eligible Births
(n=</t>
    </r>
    <r>
      <rPr>
        <b/>
        <sz val="10"/>
        <color indexed="10"/>
        <rFont val="Arial"/>
        <family val="2"/>
      </rPr>
      <t>55,711</t>
    </r>
    <r>
      <rPr>
        <b/>
        <sz val="10"/>
        <color indexed="8"/>
        <rFont val="Arial"/>
        <family val="2"/>
      </rPr>
      <t>)</t>
    </r>
  </si>
  <si>
    <r>
      <t>Early Prenatal Care</t>
    </r>
    <r>
      <rPr>
        <b/>
        <vertAlign val="superscript"/>
        <sz val="10"/>
        <color indexed="8"/>
        <rFont val="Arial"/>
        <family val="2"/>
      </rPr>
      <t xml:space="preserve">b
</t>
    </r>
    <r>
      <rPr>
        <b/>
        <sz val="10"/>
        <color indexed="8"/>
        <rFont val="Arial"/>
        <family val="2"/>
      </rPr>
      <t>(n=</t>
    </r>
    <r>
      <rPr>
        <b/>
        <sz val="10"/>
        <color indexed="10"/>
        <rFont val="Arial"/>
        <family val="2"/>
      </rPr>
      <t>45,534</t>
    </r>
    <r>
      <rPr>
        <b/>
        <sz val="10"/>
        <color indexed="8"/>
        <rFont val="Arial"/>
        <family val="2"/>
      </rPr>
      <t>)</t>
    </r>
  </si>
  <si>
    <r>
      <t>Not Early Prenatal Care
(n=</t>
    </r>
    <r>
      <rPr>
        <b/>
        <sz val="10"/>
        <color indexed="10"/>
        <rFont val="Arial"/>
        <family val="2"/>
      </rPr>
      <t>10,177</t>
    </r>
    <r>
      <rPr>
        <b/>
        <sz val="10"/>
        <color indexed="8"/>
        <rFont val="Arial"/>
        <family val="2"/>
      </rPr>
      <t>)</t>
    </r>
  </si>
  <si>
    <t>&lt;0.01</t>
  </si>
  <si>
    <r>
      <rPr>
        <vertAlign val="superscript"/>
        <sz val="10"/>
        <color indexed="10"/>
        <rFont val="Arial"/>
        <family val="2"/>
      </rPr>
      <t>b</t>
    </r>
    <r>
      <rPr>
        <sz val="10"/>
        <color indexed="10"/>
        <rFont val="Arial"/>
        <family val="2"/>
      </rPr>
      <t>1,266 observations are excluded because precare=0 means no prenatal care.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</si>
</sst>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theme="1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vertAlign val="superscript"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vertAlign val="superscript"/>
      <sz val="10"/>
      <color indexed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indent="1"/>
    </xf>
    <xf numFmtId="16" fontId="0" fillId="0" borderId="0" xfId="0" quotePrefix="1" applyNumberFormat="1" applyAlignment="1">
      <alignment horizontal="left" indent="1"/>
    </xf>
    <xf numFmtId="0" fontId="0" fillId="0" borderId="1" xfId="0" applyBorder="1"/>
    <xf numFmtId="0" fontId="0" fillId="0" borderId="1" xfId="0" applyBorder="1" applyAlignment="1">
      <alignment horizontal="left" indent="1"/>
    </xf>
    <xf numFmtId="3" fontId="0" fillId="0" borderId="0" xfId="0" applyNumberFormat="1"/>
    <xf numFmtId="0" fontId="9" fillId="0" borderId="2" xfId="0" applyFont="1" applyBorder="1"/>
    <xf numFmtId="0" fontId="9" fillId="0" borderId="1" xfId="0" applyFont="1" applyBorder="1"/>
    <xf numFmtId="3" fontId="9" fillId="0" borderId="1" xfId="0" applyNumberFormat="1" applyFont="1" applyBorder="1" applyAlignment="1">
      <alignment horizontal="center"/>
    </xf>
    <xf numFmtId="0" fontId="9" fillId="0" borderId="0" xfId="0" applyFont="1"/>
    <xf numFmtId="3" fontId="10" fillId="0" borderId="0" xfId="0" applyNumberFormat="1" applyFont="1"/>
    <xf numFmtId="3" fontId="10" fillId="0" borderId="1" xfId="0" applyNumberFormat="1" applyFont="1" applyBorder="1"/>
    <xf numFmtId="164" fontId="9" fillId="0" borderId="1" xfId="0" applyNumberFormat="1" applyFont="1" applyBorder="1" applyAlignment="1">
      <alignment horizontal="center"/>
    </xf>
    <xf numFmtId="164" fontId="0" fillId="0" borderId="0" xfId="0" applyNumberFormat="1"/>
    <xf numFmtId="164" fontId="10" fillId="0" borderId="0" xfId="0" applyNumberFormat="1" applyFont="1"/>
    <xf numFmtId="164" fontId="10" fillId="0" borderId="1" xfId="0" applyNumberFormat="1" applyFont="1" applyBorder="1"/>
    <xf numFmtId="3" fontId="9" fillId="0" borderId="1" xfId="0" applyNumberFormat="1" applyFont="1" applyBorder="1" applyAlignment="1">
      <alignment horizontal="center" wrapText="1"/>
    </xf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3" fontId="7" fillId="0" borderId="1" xfId="0" applyNumberFormat="1" applyFont="1" applyBorder="1"/>
    <xf numFmtId="164" fontId="7" fillId="0" borderId="1" xfId="0" applyNumberFormat="1" applyFont="1" applyBorder="1"/>
    <xf numFmtId="4" fontId="10" fillId="0" borderId="0" xfId="0" applyNumberFormat="1" applyFont="1"/>
    <xf numFmtId="0" fontId="10" fillId="0" borderId="1" xfId="0" applyFont="1" applyBorder="1" applyAlignment="1">
      <alignment horizontal="right"/>
    </xf>
    <xf numFmtId="0" fontId="9" fillId="0" borderId="2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/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2" fontId="10" fillId="0" borderId="0" xfId="0" applyNumberFormat="1" applyFont="1"/>
    <xf numFmtId="0" fontId="9" fillId="0" borderId="1" xfId="0" applyFont="1" applyBorder="1" applyAlignment="1">
      <alignment horizontal="left" wrapText="1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7" fillId="0" borderId="2" xfId="0" applyFont="1" applyBorder="1" applyAlignment="1">
      <alignment horizontal="left" wrapText="1"/>
    </xf>
    <xf numFmtId="0" fontId="5" fillId="2" borderId="0" xfId="0" applyFont="1" applyFill="1" applyAlignment="1">
      <alignment wrapText="1"/>
    </xf>
    <xf numFmtId="0" fontId="10" fillId="2" borderId="0" xfId="0" applyFont="1" applyFill="1" applyAlignment="1">
      <alignment wrapText="1"/>
    </xf>
    <xf numFmtId="0" fontId="7" fillId="0" borderId="0" xfId="0" applyFont="1" applyAlignment="1">
      <alignment horizontal="left" wrapText="1"/>
    </xf>
    <xf numFmtId="0" fontId="10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zoomScale="120" zoomScaleNormal="120" workbookViewId="0">
      <selection activeCell="B8" sqref="B8"/>
    </sheetView>
  </sheetViews>
  <sheetFormatPr baseColWidth="10" defaultColWidth="8.83203125" defaultRowHeight="13" x14ac:dyDescent="0.15"/>
  <cols>
    <col min="1" max="1" width="28.1640625" customWidth="1"/>
    <col min="2" max="2" width="9.1640625" style="5" customWidth="1"/>
    <col min="3" max="3" width="9.1640625" style="13" customWidth="1"/>
    <col min="4" max="4" width="1.1640625" customWidth="1"/>
    <col min="5" max="5" width="9.1640625" style="5" customWidth="1"/>
    <col min="6" max="6" width="9.1640625" style="13" customWidth="1"/>
    <col min="7" max="7" width="1.1640625" customWidth="1"/>
    <col min="8" max="8" width="9.1640625" style="5" customWidth="1"/>
    <col min="9" max="9" width="9.1640625" style="13" customWidth="1"/>
  </cols>
  <sheetData>
    <row r="1" spans="1:10" ht="35.25" customHeight="1" x14ac:dyDescent="0.15">
      <c r="A1" s="31" t="s">
        <v>57</v>
      </c>
      <c r="B1" s="31"/>
      <c r="C1" s="31"/>
      <c r="D1" s="31"/>
      <c r="E1" s="31"/>
      <c r="F1" s="31"/>
      <c r="G1" s="31"/>
      <c r="H1" s="31"/>
      <c r="I1" s="31"/>
    </row>
    <row r="2" spans="1:10" ht="27" customHeight="1" x14ac:dyDescent="0.15">
      <c r="A2" s="6"/>
      <c r="B2" s="32" t="s">
        <v>63</v>
      </c>
      <c r="C2" s="33"/>
      <c r="D2" s="6"/>
      <c r="E2" s="32" t="s">
        <v>62</v>
      </c>
      <c r="F2" s="33"/>
      <c r="G2" s="6"/>
      <c r="H2" s="32" t="s">
        <v>61</v>
      </c>
      <c r="I2" s="33"/>
    </row>
    <row r="3" spans="1:10" ht="15.75" customHeight="1" x14ac:dyDescent="0.15">
      <c r="A3" s="7"/>
      <c r="B3" s="8" t="s">
        <v>20</v>
      </c>
      <c r="C3" s="12" t="s">
        <v>21</v>
      </c>
      <c r="D3" s="9"/>
      <c r="E3" s="8" t="s">
        <v>20</v>
      </c>
      <c r="F3" s="12" t="s">
        <v>21</v>
      </c>
      <c r="G3" s="9"/>
      <c r="H3" s="8" t="s">
        <v>20</v>
      </c>
      <c r="I3" s="12" t="s">
        <v>21</v>
      </c>
    </row>
    <row r="4" spans="1:10" x14ac:dyDescent="0.15">
      <c r="A4" t="s">
        <v>25</v>
      </c>
    </row>
    <row r="5" spans="1:10" x14ac:dyDescent="0.15">
      <c r="A5" s="1" t="s">
        <v>0</v>
      </c>
      <c r="B5" s="10">
        <v>45534</v>
      </c>
      <c r="C5" s="14">
        <v>81.73</v>
      </c>
      <c r="E5" s="10">
        <v>4998</v>
      </c>
      <c r="F5" s="14">
        <v>79.22</v>
      </c>
      <c r="H5" s="10">
        <v>40536</v>
      </c>
      <c r="I5" s="14">
        <v>82.05</v>
      </c>
    </row>
    <row r="6" spans="1:10" ht="15.75" customHeight="1" x14ac:dyDescent="0.15">
      <c r="A6" s="1" t="s">
        <v>1</v>
      </c>
      <c r="B6" s="10">
        <v>10177</v>
      </c>
      <c r="C6" s="14">
        <v>18.27</v>
      </c>
      <c r="E6" s="10">
        <v>1311</v>
      </c>
      <c r="F6" s="14">
        <v>20.78</v>
      </c>
      <c r="H6" s="10">
        <v>8866</v>
      </c>
      <c r="I6" s="14">
        <v>17.95</v>
      </c>
    </row>
    <row r="7" spans="1:10" ht="15.75" customHeight="1" x14ac:dyDescent="0.15">
      <c r="A7" t="s">
        <v>19</v>
      </c>
      <c r="B7" s="10"/>
      <c r="C7" s="14"/>
      <c r="E7" s="10"/>
      <c r="F7" s="14"/>
      <c r="H7" s="10"/>
      <c r="I7" s="14"/>
    </row>
    <row r="8" spans="1:10" ht="15.75" customHeight="1" x14ac:dyDescent="0.15">
      <c r="A8" s="2" t="s">
        <v>3</v>
      </c>
      <c r="B8" s="10">
        <v>97</v>
      </c>
      <c r="C8" s="14">
        <v>0.17</v>
      </c>
      <c r="E8" s="10">
        <v>20</v>
      </c>
      <c r="F8" s="14">
        <v>0.32</v>
      </c>
      <c r="H8" s="10">
        <v>77</v>
      </c>
      <c r="I8" s="14">
        <v>0.16</v>
      </c>
    </row>
    <row r="9" spans="1:10" ht="15.75" customHeight="1" x14ac:dyDescent="0.15">
      <c r="A9" s="1" t="s">
        <v>4</v>
      </c>
      <c r="B9" s="10">
        <v>6024</v>
      </c>
      <c r="C9" s="14">
        <v>10.81</v>
      </c>
      <c r="E9" s="10">
        <v>890</v>
      </c>
      <c r="F9" s="14">
        <v>14.11</v>
      </c>
      <c r="H9" s="10">
        <v>5134</v>
      </c>
      <c r="I9" s="14">
        <v>10.39</v>
      </c>
    </row>
    <row r="10" spans="1:10" x14ac:dyDescent="0.15">
      <c r="A10" s="1" t="s">
        <v>5</v>
      </c>
      <c r="B10" s="10">
        <v>15004</v>
      </c>
      <c r="C10" s="14">
        <v>26.93</v>
      </c>
      <c r="E10" s="10">
        <v>1713</v>
      </c>
      <c r="F10" s="14">
        <v>27.15</v>
      </c>
      <c r="H10" s="10">
        <v>13291</v>
      </c>
      <c r="I10" s="14">
        <v>26.9</v>
      </c>
      <c r="J10" s="10"/>
    </row>
    <row r="11" spans="1:10" x14ac:dyDescent="0.15">
      <c r="A11" s="1" t="s">
        <v>6</v>
      </c>
      <c r="B11" s="10">
        <v>15534</v>
      </c>
      <c r="C11" s="14">
        <v>27.88</v>
      </c>
      <c r="E11" s="10">
        <v>1593</v>
      </c>
      <c r="F11" s="14">
        <v>25.25</v>
      </c>
      <c r="H11" s="10">
        <v>13941</v>
      </c>
      <c r="I11" s="14">
        <v>28.22</v>
      </c>
    </row>
    <row r="12" spans="1:10" ht="15.75" customHeight="1" x14ac:dyDescent="0.15">
      <c r="A12" s="1" t="s">
        <v>7</v>
      </c>
      <c r="B12" s="10">
        <v>11825</v>
      </c>
      <c r="C12" s="14">
        <v>21.23</v>
      </c>
      <c r="E12" s="10">
        <v>1237</v>
      </c>
      <c r="F12" s="14">
        <v>19.61</v>
      </c>
      <c r="H12" s="10">
        <v>10588</v>
      </c>
      <c r="I12" s="14">
        <v>21.43</v>
      </c>
    </row>
    <row r="13" spans="1:10" ht="15.75" customHeight="1" x14ac:dyDescent="0.15">
      <c r="A13" s="1" t="s">
        <v>8</v>
      </c>
      <c r="B13" s="10">
        <v>5952</v>
      </c>
      <c r="C13" s="14">
        <v>10.68</v>
      </c>
      <c r="E13" s="10">
        <v>670</v>
      </c>
      <c r="F13" s="14">
        <v>10.62</v>
      </c>
      <c r="H13" s="10">
        <v>5282</v>
      </c>
      <c r="I13" s="14">
        <v>10.69</v>
      </c>
    </row>
    <row r="14" spans="1:10" x14ac:dyDescent="0.15">
      <c r="A14" s="1" t="s">
        <v>9</v>
      </c>
      <c r="B14" s="10">
        <v>1218</v>
      </c>
      <c r="C14" s="14">
        <v>2.19</v>
      </c>
      <c r="E14" s="10">
        <v>173</v>
      </c>
      <c r="F14" s="14">
        <v>2.74</v>
      </c>
      <c r="H14" s="10">
        <v>1045</v>
      </c>
      <c r="I14" s="14">
        <v>2.12</v>
      </c>
    </row>
    <row r="15" spans="1:10" ht="15.75" customHeight="1" x14ac:dyDescent="0.15">
      <c r="A15" s="1" t="s">
        <v>10</v>
      </c>
      <c r="B15" s="10">
        <v>57</v>
      </c>
      <c r="C15" s="14">
        <v>0.1</v>
      </c>
      <c r="E15" s="10">
        <v>13</v>
      </c>
      <c r="F15" s="14">
        <v>0.21</v>
      </c>
      <c r="H15" s="10">
        <v>44</v>
      </c>
      <c r="I15" s="14">
        <v>0.09</v>
      </c>
    </row>
    <row r="16" spans="1:10" x14ac:dyDescent="0.15">
      <c r="A16" t="s">
        <v>22</v>
      </c>
      <c r="B16" s="10"/>
      <c r="C16" s="14"/>
      <c r="E16" s="10"/>
      <c r="F16" s="14"/>
      <c r="H16" s="10"/>
      <c r="I16" s="14"/>
    </row>
    <row r="17" spans="1:9" x14ac:dyDescent="0.15">
      <c r="A17" s="1" t="s">
        <v>12</v>
      </c>
      <c r="B17" s="10">
        <v>31938</v>
      </c>
      <c r="C17" s="14">
        <v>57.54</v>
      </c>
      <c r="E17" s="10">
        <v>3168</v>
      </c>
      <c r="F17" s="14">
        <v>50.49</v>
      </c>
      <c r="H17" s="10">
        <v>28770</v>
      </c>
      <c r="I17" s="14">
        <v>58.44</v>
      </c>
    </row>
    <row r="18" spans="1:9" x14ac:dyDescent="0.15">
      <c r="A18" s="1" t="s">
        <v>11</v>
      </c>
      <c r="B18" s="10">
        <v>7314</v>
      </c>
      <c r="C18" s="14">
        <v>13.18</v>
      </c>
      <c r="E18" s="10">
        <v>1171</v>
      </c>
      <c r="F18" s="14">
        <v>18.66</v>
      </c>
      <c r="H18" s="10">
        <v>6143</v>
      </c>
      <c r="I18" s="14">
        <v>12.48</v>
      </c>
    </row>
    <row r="19" spans="1:9" ht="15.75" customHeight="1" x14ac:dyDescent="0.15">
      <c r="A19" s="1" t="s">
        <v>13</v>
      </c>
      <c r="B19" s="10">
        <v>332</v>
      </c>
      <c r="C19" s="14">
        <v>0.6</v>
      </c>
      <c r="E19" s="10">
        <v>50</v>
      </c>
      <c r="F19" s="14">
        <v>0.8</v>
      </c>
      <c r="H19" s="10">
        <v>282</v>
      </c>
      <c r="I19" s="14">
        <v>0.56999999999999995</v>
      </c>
    </row>
    <row r="20" spans="1:9" x14ac:dyDescent="0.15">
      <c r="A20" s="1" t="s">
        <v>14</v>
      </c>
      <c r="B20" s="10">
        <v>1737</v>
      </c>
      <c r="C20" s="14">
        <v>3.13</v>
      </c>
      <c r="E20" s="10">
        <v>164</v>
      </c>
      <c r="F20" s="14">
        <v>2.61</v>
      </c>
      <c r="H20" s="10">
        <v>1573</v>
      </c>
      <c r="I20" s="14">
        <v>3.2</v>
      </c>
    </row>
    <row r="21" spans="1:9" ht="15.75" customHeight="1" x14ac:dyDescent="0.15">
      <c r="A21" s="1" t="s">
        <v>15</v>
      </c>
      <c r="B21" s="10">
        <v>60</v>
      </c>
      <c r="C21" s="14">
        <v>0.11</v>
      </c>
      <c r="E21" s="10">
        <v>6</v>
      </c>
      <c r="F21" s="14">
        <v>0.1</v>
      </c>
      <c r="H21" s="10">
        <v>54</v>
      </c>
      <c r="I21" s="14">
        <v>0.11</v>
      </c>
    </row>
    <row r="22" spans="1:9" x14ac:dyDescent="0.15">
      <c r="A22" s="1" t="s">
        <v>16</v>
      </c>
      <c r="B22" s="10">
        <v>13512</v>
      </c>
      <c r="C22" s="14">
        <v>24.34</v>
      </c>
      <c r="E22" s="10">
        <v>1632</v>
      </c>
      <c r="F22" s="14">
        <v>26.01</v>
      </c>
      <c r="H22" s="10">
        <v>11880</v>
      </c>
      <c r="I22" s="14">
        <v>24.13</v>
      </c>
    </row>
    <row r="23" spans="1:9" x14ac:dyDescent="0.15">
      <c r="A23" s="1" t="s">
        <v>17</v>
      </c>
      <c r="B23" s="10">
        <v>612</v>
      </c>
      <c r="C23" s="14">
        <v>1.1000000000000001</v>
      </c>
      <c r="E23" s="10">
        <v>84</v>
      </c>
      <c r="F23" s="14">
        <v>1.34</v>
      </c>
      <c r="H23" s="10">
        <v>528</v>
      </c>
      <c r="I23" s="14">
        <v>1.07</v>
      </c>
    </row>
    <row r="24" spans="1:9" ht="15.75" customHeight="1" x14ac:dyDescent="0.15">
      <c r="A24" s="1" t="s">
        <v>2</v>
      </c>
      <c r="B24" s="10">
        <v>206</v>
      </c>
      <c r="C24" s="14"/>
      <c r="E24" s="10">
        <v>34</v>
      </c>
      <c r="F24" s="14"/>
      <c r="H24" s="10">
        <v>172</v>
      </c>
      <c r="I24" s="14"/>
    </row>
    <row r="25" spans="1:9" ht="15.75" customHeight="1" x14ac:dyDescent="0.15">
      <c r="A25" t="s">
        <v>23</v>
      </c>
      <c r="B25" s="10"/>
      <c r="C25" s="14"/>
      <c r="E25" s="10"/>
      <c r="F25" s="14"/>
      <c r="H25" s="10"/>
      <c r="I25" s="14"/>
    </row>
    <row r="26" spans="1:9" x14ac:dyDescent="0.15">
      <c r="A26" s="1" t="s">
        <v>0</v>
      </c>
      <c r="B26" s="10">
        <v>6124</v>
      </c>
      <c r="C26" s="14">
        <v>13.08</v>
      </c>
      <c r="E26" s="10">
        <v>831</v>
      </c>
      <c r="F26" s="14">
        <v>15.86</v>
      </c>
      <c r="H26" s="10">
        <v>5293</v>
      </c>
      <c r="I26" s="14">
        <v>12.73</v>
      </c>
    </row>
    <row r="27" spans="1:9" ht="15.75" customHeight="1" x14ac:dyDescent="0.15">
      <c r="A27" s="1" t="s">
        <v>18</v>
      </c>
      <c r="B27" s="10">
        <v>40702</v>
      </c>
      <c r="C27" s="14">
        <v>86.92</v>
      </c>
      <c r="E27" s="10">
        <v>4410</v>
      </c>
      <c r="F27" s="14">
        <v>84.14</v>
      </c>
      <c r="H27" s="10">
        <v>36292</v>
      </c>
      <c r="I27" s="14">
        <v>87.27</v>
      </c>
    </row>
    <row r="28" spans="1:9" x14ac:dyDescent="0.15">
      <c r="A28" s="4" t="s">
        <v>2</v>
      </c>
      <c r="B28" s="11">
        <v>8885</v>
      </c>
      <c r="C28" s="15"/>
      <c r="D28" s="3"/>
      <c r="E28" s="11">
        <v>1068</v>
      </c>
      <c r="F28" s="15"/>
      <c r="G28" s="3"/>
      <c r="H28" s="11">
        <v>7817</v>
      </c>
      <c r="I28" s="15"/>
    </row>
    <row r="29" spans="1:9" ht="15" x14ac:dyDescent="0.15">
      <c r="A29" t="s">
        <v>24</v>
      </c>
    </row>
    <row r="30" spans="1:9" ht="15" x14ac:dyDescent="0.15">
      <c r="A30" t="s">
        <v>51</v>
      </c>
    </row>
    <row r="36" ht="15.75" customHeight="1" x14ac:dyDescent="0.15"/>
    <row r="39" ht="15.75" customHeight="1" x14ac:dyDescent="0.15"/>
    <row r="40" ht="15.75" customHeight="1" x14ac:dyDescent="0.15"/>
    <row r="42" ht="15.75" customHeight="1" x14ac:dyDescent="0.15"/>
    <row r="43" ht="15.75" customHeight="1" x14ac:dyDescent="0.15"/>
    <row r="55" ht="15.75" customHeight="1" x14ac:dyDescent="0.15"/>
    <row r="61" ht="15.75" customHeight="1" x14ac:dyDescent="0.15"/>
    <row r="62" ht="15.75" customHeight="1" x14ac:dyDescent="0.15"/>
    <row r="67" ht="15.75" customHeight="1" x14ac:dyDescent="0.15"/>
    <row r="68" ht="15.75" customHeight="1" x14ac:dyDescent="0.15"/>
    <row r="73" ht="15.75" customHeight="1" x14ac:dyDescent="0.15"/>
    <row r="79" ht="15.75" customHeight="1" x14ac:dyDescent="0.15"/>
    <row r="80" ht="15.75" customHeight="1" x14ac:dyDescent="0.15"/>
    <row r="88" ht="15.75" customHeight="1" x14ac:dyDescent="0.15"/>
    <row r="94" ht="15.75" customHeight="1" x14ac:dyDescent="0.15"/>
    <row r="95" ht="15.75" customHeight="1" x14ac:dyDescent="0.15"/>
    <row r="109" ht="15.75" customHeight="1" x14ac:dyDescent="0.15"/>
    <row r="110" ht="15.75" customHeight="1" x14ac:dyDescent="0.15"/>
  </sheetData>
  <mergeCells count="4">
    <mergeCell ref="A1:I1"/>
    <mergeCell ref="B2:C2"/>
    <mergeCell ref="E2:F2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"/>
  <sheetViews>
    <sheetView zoomScale="120" zoomScaleNormal="120" workbookViewId="0">
      <selection activeCell="K27" sqref="K27"/>
    </sheetView>
  </sheetViews>
  <sheetFormatPr baseColWidth="10" defaultColWidth="8.83203125" defaultRowHeight="13" x14ac:dyDescent="0.15"/>
  <cols>
    <col min="1" max="1" width="28.1640625" customWidth="1"/>
    <col min="2" max="2" width="9.1640625" style="5" customWidth="1"/>
    <col min="3" max="3" width="9.1640625" style="13" customWidth="1"/>
    <col min="4" max="4" width="1.1640625" customWidth="1"/>
    <col min="5" max="5" width="9.1640625" style="5" customWidth="1"/>
    <col min="6" max="6" width="9.1640625" style="13" customWidth="1"/>
    <col min="7" max="7" width="1.1640625" customWidth="1"/>
    <col min="8" max="8" width="9.1640625" style="5" customWidth="1"/>
    <col min="9" max="9" width="9.1640625" style="13" customWidth="1"/>
  </cols>
  <sheetData>
    <row r="1" spans="1:9" ht="35.25" customHeight="1" x14ac:dyDescent="0.15">
      <c r="A1" s="31" t="s">
        <v>60</v>
      </c>
      <c r="B1" s="31"/>
      <c r="C1" s="31"/>
      <c r="D1" s="31"/>
      <c r="E1" s="31"/>
      <c r="F1" s="31"/>
      <c r="G1" s="31"/>
      <c r="H1" s="31"/>
      <c r="I1" s="31"/>
    </row>
    <row r="2" spans="1:9" ht="41.25" customHeight="1" x14ac:dyDescent="0.15">
      <c r="A2" s="6"/>
      <c r="B2" s="32" t="str">
        <f>'table 1'!B2:C2</f>
        <v>Eligible Births
(n=55,711)</v>
      </c>
      <c r="C2" s="33"/>
      <c r="D2" s="6"/>
      <c r="E2" s="32" t="s">
        <v>64</v>
      </c>
      <c r="F2" s="33"/>
      <c r="G2" s="6"/>
      <c r="H2" s="32" t="s">
        <v>65</v>
      </c>
      <c r="I2" s="33"/>
    </row>
    <row r="3" spans="1:9" ht="15.75" customHeight="1" x14ac:dyDescent="0.15">
      <c r="A3" s="7"/>
      <c r="B3" s="8" t="s">
        <v>20</v>
      </c>
      <c r="C3" s="12" t="s">
        <v>21</v>
      </c>
      <c r="D3" s="9"/>
      <c r="E3" s="8" t="s">
        <v>20</v>
      </c>
      <c r="F3" s="12" t="s">
        <v>21</v>
      </c>
      <c r="G3" s="9"/>
      <c r="H3" s="8" t="s">
        <v>20</v>
      </c>
      <c r="I3" s="12" t="s">
        <v>21</v>
      </c>
    </row>
    <row r="4" spans="1:9" ht="15.75" customHeight="1" x14ac:dyDescent="0.15">
      <c r="A4" t="s">
        <v>26</v>
      </c>
    </row>
    <row r="5" spans="1:9" x14ac:dyDescent="0.15">
      <c r="A5" s="1" t="s">
        <v>0</v>
      </c>
      <c r="B5" s="10">
        <v>6309</v>
      </c>
      <c r="C5" s="14">
        <v>11.32</v>
      </c>
      <c r="E5" s="10">
        <v>4998</v>
      </c>
      <c r="F5" s="14">
        <v>10.98</v>
      </c>
      <c r="H5" s="10">
        <v>1311</v>
      </c>
      <c r="I5" s="14">
        <v>12.88</v>
      </c>
    </row>
    <row r="6" spans="1:9" x14ac:dyDescent="0.15">
      <c r="A6" s="1" t="s">
        <v>1</v>
      </c>
      <c r="B6" s="10">
        <v>49402</v>
      </c>
      <c r="C6" s="14">
        <v>88.7</v>
      </c>
      <c r="E6" s="10">
        <v>40536</v>
      </c>
      <c r="F6" s="14">
        <v>89.02</v>
      </c>
      <c r="H6" s="10">
        <v>8866</v>
      </c>
      <c r="I6" s="14">
        <v>87.12</v>
      </c>
    </row>
    <row r="7" spans="1:9" x14ac:dyDescent="0.15">
      <c r="A7" t="s">
        <v>19</v>
      </c>
      <c r="B7" s="10"/>
      <c r="C7" s="14"/>
      <c r="E7" s="10"/>
      <c r="F7" s="14"/>
      <c r="H7" s="10"/>
      <c r="I7" s="14"/>
    </row>
    <row r="8" spans="1:9" x14ac:dyDescent="0.15">
      <c r="A8" s="2" t="s">
        <v>3</v>
      </c>
      <c r="B8" s="18">
        <f>'table 1'!B8</f>
        <v>97</v>
      </c>
      <c r="C8" s="19">
        <f>'table 1'!C8</f>
        <v>0.17</v>
      </c>
      <c r="E8" s="10">
        <v>48</v>
      </c>
      <c r="F8" s="14">
        <v>0.11</v>
      </c>
      <c r="H8" s="10">
        <v>49</v>
      </c>
      <c r="I8" s="14">
        <v>0.48</v>
      </c>
    </row>
    <row r="9" spans="1:9" ht="15.75" customHeight="1" x14ac:dyDescent="0.15">
      <c r="A9" s="1" t="s">
        <v>4</v>
      </c>
      <c r="B9" s="18">
        <f>'table 1'!B9</f>
        <v>6024</v>
      </c>
      <c r="C9" s="19">
        <f>'table 1'!C9</f>
        <v>10.81</v>
      </c>
      <c r="E9" s="10">
        <v>4134</v>
      </c>
      <c r="F9" s="14">
        <v>9.08</v>
      </c>
      <c r="H9" s="10">
        <v>1890</v>
      </c>
      <c r="I9" s="14">
        <v>18.57</v>
      </c>
    </row>
    <row r="10" spans="1:9" ht="15.75" customHeight="1" x14ac:dyDescent="0.15">
      <c r="A10" s="1" t="s">
        <v>5</v>
      </c>
      <c r="B10" s="18">
        <f>'table 1'!B10</f>
        <v>15004</v>
      </c>
      <c r="C10" s="19">
        <f>'table 1'!C10</f>
        <v>26.93</v>
      </c>
      <c r="E10" s="10">
        <v>11449</v>
      </c>
      <c r="F10" s="14">
        <v>25.14</v>
      </c>
      <c r="H10" s="10">
        <v>3555</v>
      </c>
      <c r="I10" s="14">
        <v>34.93</v>
      </c>
    </row>
    <row r="11" spans="1:9" x14ac:dyDescent="0.15">
      <c r="A11" s="1" t="s">
        <v>6</v>
      </c>
      <c r="B11" s="18">
        <f>'table 1'!B11</f>
        <v>15534</v>
      </c>
      <c r="C11" s="19">
        <f>'table 1'!C11</f>
        <v>27.88</v>
      </c>
      <c r="E11" s="10">
        <v>13140</v>
      </c>
      <c r="F11" s="14">
        <v>28.86</v>
      </c>
      <c r="H11" s="10">
        <v>2394</v>
      </c>
      <c r="I11" s="14">
        <v>23.52</v>
      </c>
    </row>
    <row r="12" spans="1:9" x14ac:dyDescent="0.15">
      <c r="A12" s="1" t="s">
        <v>7</v>
      </c>
      <c r="B12" s="18">
        <f>'table 1'!B12</f>
        <v>11825</v>
      </c>
      <c r="C12" s="19">
        <f>'table 1'!C12</f>
        <v>21.23</v>
      </c>
      <c r="E12" s="10">
        <v>10467</v>
      </c>
      <c r="F12" s="14">
        <v>22.99</v>
      </c>
      <c r="H12" s="10">
        <v>1358</v>
      </c>
      <c r="I12" s="14">
        <v>13.34</v>
      </c>
    </row>
    <row r="13" spans="1:9" x14ac:dyDescent="0.15">
      <c r="A13" s="1" t="s">
        <v>8</v>
      </c>
      <c r="B13" s="18">
        <f>'table 1'!B13</f>
        <v>5952</v>
      </c>
      <c r="C13" s="19">
        <f>'table 1'!C13</f>
        <v>10.68</v>
      </c>
      <c r="E13" s="10">
        <v>5236</v>
      </c>
      <c r="F13" s="14">
        <v>11.5</v>
      </c>
      <c r="H13" s="10">
        <v>716</v>
      </c>
      <c r="I13" s="14">
        <v>7.04</v>
      </c>
    </row>
    <row r="14" spans="1:9" x14ac:dyDescent="0.15">
      <c r="A14" s="1" t="s">
        <v>9</v>
      </c>
      <c r="B14" s="18">
        <f>'table 1'!B14</f>
        <v>1218</v>
      </c>
      <c r="C14" s="19">
        <f>'table 1'!C14</f>
        <v>2.19</v>
      </c>
      <c r="E14" s="10">
        <v>1015</v>
      </c>
      <c r="F14" s="14">
        <v>2.23</v>
      </c>
      <c r="H14" s="10">
        <v>203</v>
      </c>
      <c r="I14" s="14">
        <v>1.99</v>
      </c>
    </row>
    <row r="15" spans="1:9" x14ac:dyDescent="0.15">
      <c r="A15" s="1" t="s">
        <v>10</v>
      </c>
      <c r="B15" s="18">
        <f>'table 1'!B15</f>
        <v>57</v>
      </c>
      <c r="C15" s="19">
        <f>'table 1'!C15</f>
        <v>0.1</v>
      </c>
      <c r="E15" s="10">
        <v>45</v>
      </c>
      <c r="F15" s="14">
        <v>0.1</v>
      </c>
      <c r="H15" s="10">
        <v>12</v>
      </c>
      <c r="I15" s="14">
        <v>0.12</v>
      </c>
    </row>
    <row r="16" spans="1:9" x14ac:dyDescent="0.15">
      <c r="A16" t="s">
        <v>22</v>
      </c>
      <c r="B16" s="18"/>
      <c r="C16" s="19"/>
      <c r="E16" s="10"/>
      <c r="F16" s="14"/>
      <c r="H16" s="10"/>
      <c r="I16" s="14"/>
    </row>
    <row r="17" spans="1:9" x14ac:dyDescent="0.15">
      <c r="A17" s="1" t="s">
        <v>12</v>
      </c>
      <c r="B17" s="18">
        <f>'table 1'!B17</f>
        <v>31938</v>
      </c>
      <c r="C17" s="19">
        <f>'table 1'!C17</f>
        <v>57.54</v>
      </c>
      <c r="E17" s="10">
        <v>27879</v>
      </c>
      <c r="F17" s="14">
        <v>61.43</v>
      </c>
      <c r="H17" s="10">
        <v>4059</v>
      </c>
      <c r="I17" s="14">
        <v>40.1</v>
      </c>
    </row>
    <row r="18" spans="1:9" x14ac:dyDescent="0.15">
      <c r="A18" s="1" t="s">
        <v>11</v>
      </c>
      <c r="B18" s="18">
        <f>'table 1'!B18</f>
        <v>7314</v>
      </c>
      <c r="C18" s="19">
        <f>'table 1'!C18</f>
        <v>13.18</v>
      </c>
      <c r="E18" s="10">
        <v>5353</v>
      </c>
      <c r="F18" s="14">
        <v>11.8</v>
      </c>
      <c r="H18" s="10">
        <v>1961</v>
      </c>
      <c r="I18" s="14">
        <v>19.37</v>
      </c>
    </row>
    <row r="19" spans="1:9" x14ac:dyDescent="0.15">
      <c r="A19" s="1" t="s">
        <v>13</v>
      </c>
      <c r="B19" s="18">
        <f>'table 1'!B19</f>
        <v>332</v>
      </c>
      <c r="C19" s="19">
        <f>'table 1'!C19</f>
        <v>0.6</v>
      </c>
      <c r="E19" s="10">
        <v>229</v>
      </c>
      <c r="F19" s="14">
        <v>0.5</v>
      </c>
      <c r="H19" s="10">
        <v>103</v>
      </c>
      <c r="I19" s="14">
        <v>1.02</v>
      </c>
    </row>
    <row r="20" spans="1:9" x14ac:dyDescent="0.15">
      <c r="A20" s="1" t="s">
        <v>14</v>
      </c>
      <c r="B20" s="18">
        <f>'table 1'!B20</f>
        <v>1737</v>
      </c>
      <c r="C20" s="19">
        <f>'table 1'!C20</f>
        <v>3.13</v>
      </c>
      <c r="E20" s="10">
        <v>1497</v>
      </c>
      <c r="F20" s="14">
        <v>3.3</v>
      </c>
      <c r="H20" s="10">
        <v>240</v>
      </c>
      <c r="I20" s="14">
        <v>2.37</v>
      </c>
    </row>
    <row r="21" spans="1:9" ht="15.75" customHeight="1" x14ac:dyDescent="0.15">
      <c r="A21" s="1" t="s">
        <v>15</v>
      </c>
      <c r="B21" s="18">
        <f>'table 1'!B21</f>
        <v>60</v>
      </c>
      <c r="C21" s="19">
        <f>'table 1'!C21</f>
        <v>0.11</v>
      </c>
      <c r="E21" s="10">
        <v>36</v>
      </c>
      <c r="F21" s="14">
        <v>0.08</v>
      </c>
      <c r="H21" s="10">
        <v>24</v>
      </c>
      <c r="I21" s="14">
        <v>0.24</v>
      </c>
    </row>
    <row r="22" spans="1:9" ht="15.75" customHeight="1" x14ac:dyDescent="0.15">
      <c r="A22" s="1" t="s">
        <v>16</v>
      </c>
      <c r="B22" s="18">
        <f>'table 1'!B22</f>
        <v>13512</v>
      </c>
      <c r="C22" s="19">
        <f>'table 1'!C22</f>
        <v>24.34</v>
      </c>
      <c r="E22" s="10">
        <v>9885</v>
      </c>
      <c r="F22" s="14">
        <v>21.78</v>
      </c>
      <c r="H22" s="10">
        <v>3627</v>
      </c>
      <c r="I22" s="14">
        <v>35.83</v>
      </c>
    </row>
    <row r="23" spans="1:9" x14ac:dyDescent="0.15">
      <c r="A23" s="1" t="s">
        <v>17</v>
      </c>
      <c r="B23" s="18">
        <f>'table 1'!B23</f>
        <v>612</v>
      </c>
      <c r="C23" s="19">
        <f>'table 1'!C23</f>
        <v>1.1000000000000001</v>
      </c>
      <c r="E23" s="10">
        <v>503</v>
      </c>
      <c r="F23" s="14">
        <v>1.1100000000000001</v>
      </c>
      <c r="H23" s="10">
        <v>109</v>
      </c>
      <c r="I23" s="14">
        <v>1.08</v>
      </c>
    </row>
    <row r="24" spans="1:9" x14ac:dyDescent="0.15">
      <c r="A24" s="1" t="s">
        <v>2</v>
      </c>
      <c r="B24" s="18">
        <f>'table 1'!B24</f>
        <v>206</v>
      </c>
      <c r="C24" s="19"/>
      <c r="E24" s="10">
        <v>152</v>
      </c>
      <c r="F24" s="14"/>
      <c r="H24" s="10">
        <v>54</v>
      </c>
      <c r="I24" s="14"/>
    </row>
    <row r="25" spans="1:9" x14ac:dyDescent="0.15">
      <c r="A25" t="s">
        <v>23</v>
      </c>
      <c r="B25" s="18"/>
      <c r="C25" s="19"/>
      <c r="E25" s="10"/>
      <c r="F25" s="14"/>
      <c r="H25" s="10"/>
      <c r="I25" s="14"/>
    </row>
    <row r="26" spans="1:9" x14ac:dyDescent="0.15">
      <c r="A26" s="1" t="s">
        <v>0</v>
      </c>
      <c r="B26" s="18">
        <f>'table 1'!B26</f>
        <v>6124</v>
      </c>
      <c r="C26" s="19">
        <f>'table 1'!C26</f>
        <v>13.08</v>
      </c>
      <c r="E26" s="10">
        <v>4691</v>
      </c>
      <c r="F26" s="14">
        <v>12.26</v>
      </c>
      <c r="H26" s="10">
        <v>1433</v>
      </c>
      <c r="I26" s="14">
        <v>16.72</v>
      </c>
    </row>
    <row r="27" spans="1:9" ht="15.75" customHeight="1" x14ac:dyDescent="0.15">
      <c r="A27" s="1" t="s">
        <v>18</v>
      </c>
      <c r="B27" s="18">
        <f>'table 1'!B27</f>
        <v>40702</v>
      </c>
      <c r="C27" s="19">
        <f>'table 1'!C27</f>
        <v>86.92</v>
      </c>
      <c r="E27" s="10">
        <v>33562</v>
      </c>
      <c r="F27" s="14">
        <v>87.74</v>
      </c>
      <c r="H27" s="10">
        <v>7140</v>
      </c>
      <c r="I27" s="14">
        <v>83.28</v>
      </c>
    </row>
    <row r="28" spans="1:9" x14ac:dyDescent="0.15">
      <c r="A28" s="4" t="s">
        <v>2</v>
      </c>
      <c r="B28" s="20">
        <f>'table 1'!B28</f>
        <v>8885</v>
      </c>
      <c r="C28" s="21"/>
      <c r="D28" s="3"/>
      <c r="E28" s="11">
        <v>7281</v>
      </c>
      <c r="F28" s="15"/>
      <c r="G28" s="3"/>
      <c r="H28" s="11">
        <v>1604</v>
      </c>
      <c r="I28" s="15"/>
    </row>
    <row r="29" spans="1:9" ht="15" x14ac:dyDescent="0.15">
      <c r="A29" t="s">
        <v>24</v>
      </c>
    </row>
    <row r="30" spans="1:9" ht="24.75" customHeight="1" x14ac:dyDescent="0.15">
      <c r="A30" s="34" t="s">
        <v>53</v>
      </c>
      <c r="B30" s="34"/>
      <c r="C30" s="34"/>
      <c r="D30" s="34"/>
      <c r="E30" s="34"/>
      <c r="F30" s="34"/>
      <c r="G30" s="34"/>
      <c r="H30" s="34"/>
      <c r="I30" s="34"/>
    </row>
    <row r="31" spans="1:9" ht="15" x14ac:dyDescent="0.15">
      <c r="A31" t="s">
        <v>49</v>
      </c>
    </row>
    <row r="36" ht="15.75" customHeight="1" x14ac:dyDescent="0.15"/>
    <row r="37" ht="15.75" customHeight="1" x14ac:dyDescent="0.15"/>
    <row r="40" ht="15.75" customHeight="1" x14ac:dyDescent="0.15"/>
    <row r="42" ht="15.75" customHeight="1" x14ac:dyDescent="0.15"/>
    <row r="43" ht="15.75" customHeight="1" x14ac:dyDescent="0.15"/>
    <row r="55" ht="15.75" customHeight="1" x14ac:dyDescent="0.15"/>
    <row r="61" ht="15.75" customHeight="1" x14ac:dyDescent="0.15"/>
    <row r="62" ht="15.75" customHeight="1" x14ac:dyDescent="0.15"/>
    <row r="67" ht="15.75" customHeight="1" x14ac:dyDescent="0.15"/>
    <row r="68" ht="15.75" customHeight="1" x14ac:dyDescent="0.15"/>
    <row r="73" ht="15.75" customHeight="1" x14ac:dyDescent="0.15"/>
    <row r="79" ht="15.75" customHeight="1" x14ac:dyDescent="0.15"/>
    <row r="80" ht="15.75" customHeight="1" x14ac:dyDescent="0.15"/>
    <row r="88" ht="15.75" customHeight="1" x14ac:dyDescent="0.15"/>
    <row r="94" ht="15.75" customHeight="1" x14ac:dyDescent="0.15"/>
    <row r="95" ht="15.75" customHeight="1" x14ac:dyDescent="0.15"/>
    <row r="109" ht="15.75" customHeight="1" x14ac:dyDescent="0.15"/>
    <row r="110" ht="15.75" customHeight="1" x14ac:dyDescent="0.15"/>
  </sheetData>
  <mergeCells count="5">
    <mergeCell ref="A1:I1"/>
    <mergeCell ref="B2:C2"/>
    <mergeCell ref="E2:F2"/>
    <mergeCell ref="H2:I2"/>
    <mergeCell ref="A30:I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zoomScale="120" zoomScaleNormal="120" workbookViewId="0">
      <selection activeCell="A19" sqref="A19:C19"/>
    </sheetView>
  </sheetViews>
  <sheetFormatPr baseColWidth="10" defaultColWidth="8.83203125" defaultRowHeight="13" x14ac:dyDescent="0.15"/>
  <cols>
    <col min="1" max="1" width="13.33203125" bestFit="1" customWidth="1"/>
    <col min="2" max="2" width="9.6640625" customWidth="1"/>
    <col min="3" max="3" width="13.33203125" customWidth="1"/>
  </cols>
  <sheetData>
    <row r="1" spans="1:3" ht="43.5" customHeight="1" x14ac:dyDescent="0.15">
      <c r="A1" s="31" t="s">
        <v>58</v>
      </c>
      <c r="B1" s="31"/>
      <c r="C1" s="31"/>
    </row>
    <row r="2" spans="1:3" ht="12.75" customHeight="1" x14ac:dyDescent="0.15">
      <c r="A2" s="6"/>
      <c r="B2" s="32" t="s">
        <v>56</v>
      </c>
      <c r="C2" s="32"/>
    </row>
    <row r="3" spans="1:3" ht="30" customHeight="1" x14ac:dyDescent="0.15">
      <c r="A3" s="7"/>
      <c r="B3" s="8" t="s">
        <v>27</v>
      </c>
      <c r="C3" s="16" t="s">
        <v>54</v>
      </c>
    </row>
    <row r="4" spans="1:3" x14ac:dyDescent="0.15">
      <c r="A4" t="s">
        <v>28</v>
      </c>
      <c r="B4" s="10">
        <v>79031</v>
      </c>
      <c r="C4" s="10">
        <v>54506</v>
      </c>
    </row>
    <row r="5" spans="1:3" x14ac:dyDescent="0.15">
      <c r="A5" t="s">
        <v>30</v>
      </c>
      <c r="B5" s="22">
        <v>38.664999999999999</v>
      </c>
      <c r="C5" s="22">
        <v>3.2250000000000001</v>
      </c>
    </row>
    <row r="6" spans="1:3" x14ac:dyDescent="0.15">
      <c r="A6" t="s">
        <v>29</v>
      </c>
      <c r="B6" s="22">
        <v>2.4140000000000001</v>
      </c>
      <c r="C6" s="22">
        <v>1.6040000000000001</v>
      </c>
    </row>
    <row r="7" spans="1:3" x14ac:dyDescent="0.15">
      <c r="A7" t="s">
        <v>31</v>
      </c>
      <c r="B7" s="10">
        <v>39</v>
      </c>
      <c r="C7" s="10">
        <v>3</v>
      </c>
    </row>
    <row r="8" spans="1:3" x14ac:dyDescent="0.15">
      <c r="A8" t="s">
        <v>32</v>
      </c>
      <c r="B8" s="10">
        <v>38</v>
      </c>
      <c r="C8" s="10">
        <v>2</v>
      </c>
    </row>
    <row r="9" spans="1:3" x14ac:dyDescent="0.15">
      <c r="A9" t="s">
        <v>33</v>
      </c>
      <c r="B9" s="10">
        <v>40</v>
      </c>
      <c r="C9" s="10">
        <v>4</v>
      </c>
    </row>
    <row r="10" spans="1:3" ht="15.75" customHeight="1" x14ac:dyDescent="0.15">
      <c r="A10" t="s">
        <v>34</v>
      </c>
      <c r="B10" s="10">
        <v>17</v>
      </c>
      <c r="C10" s="10">
        <v>1</v>
      </c>
    </row>
    <row r="11" spans="1:3" ht="15.75" customHeight="1" x14ac:dyDescent="0.15">
      <c r="A11" t="s">
        <v>35</v>
      </c>
      <c r="B11" s="10">
        <v>47</v>
      </c>
      <c r="C11" s="10">
        <v>10</v>
      </c>
    </row>
    <row r="12" spans="1:3" x14ac:dyDescent="0.15">
      <c r="A12" t="s">
        <v>36</v>
      </c>
      <c r="B12" s="10">
        <v>969</v>
      </c>
      <c r="C12" s="10">
        <v>24228</v>
      </c>
    </row>
    <row r="13" spans="1:3" x14ac:dyDescent="0.15">
      <c r="A13" t="s">
        <v>37</v>
      </c>
      <c r="B13" s="22">
        <v>-1.8089999999999999</v>
      </c>
      <c r="C13" s="22">
        <v>1.41</v>
      </c>
    </row>
    <row r="14" spans="1:3" x14ac:dyDescent="0.15">
      <c r="A14" t="s">
        <v>38</v>
      </c>
      <c r="B14" s="22">
        <v>9.9949999999999992</v>
      </c>
      <c r="C14" s="22">
        <v>2.0499999999999998</v>
      </c>
    </row>
    <row r="15" spans="1:3" x14ac:dyDescent="0.15">
      <c r="A15" t="s">
        <v>41</v>
      </c>
      <c r="B15" s="22"/>
      <c r="C15" s="22"/>
    </row>
    <row r="16" spans="1:3" x14ac:dyDescent="0.15">
      <c r="A16" s="1" t="s">
        <v>39</v>
      </c>
      <c r="B16" s="22">
        <v>0.189</v>
      </c>
      <c r="C16" s="22">
        <v>0.26</v>
      </c>
    </row>
    <row r="17" spans="1:3" x14ac:dyDescent="0.15">
      <c r="A17" s="4" t="s">
        <v>40</v>
      </c>
      <c r="B17" s="23" t="s">
        <v>66</v>
      </c>
      <c r="C17" s="23" t="s">
        <v>66</v>
      </c>
    </row>
    <row r="18" spans="1:3" ht="42.75" customHeight="1" x14ac:dyDescent="0.15">
      <c r="A18" s="35" t="s">
        <v>55</v>
      </c>
      <c r="B18" s="35"/>
      <c r="C18" s="35"/>
    </row>
    <row r="19" spans="1:3" ht="42.75" customHeight="1" x14ac:dyDescent="0.15">
      <c r="A19" s="36" t="s">
        <v>67</v>
      </c>
      <c r="B19" s="37"/>
      <c r="C19" s="37"/>
    </row>
    <row r="22" spans="1:3" ht="15.75" customHeight="1" x14ac:dyDescent="0.15"/>
    <row r="23" spans="1:3" ht="15.75" customHeight="1" x14ac:dyDescent="0.15"/>
    <row r="28" spans="1:3" ht="31.5" customHeight="1" x14ac:dyDescent="0.15"/>
    <row r="42" ht="15.75" customHeight="1" x14ac:dyDescent="0.15"/>
    <row r="43" ht="15.75" customHeight="1" x14ac:dyDescent="0.15"/>
    <row r="51" ht="15.75" customHeight="1" x14ac:dyDescent="0.15"/>
  </sheetData>
  <mergeCells count="4">
    <mergeCell ref="B2:C2"/>
    <mergeCell ref="A1:C1"/>
    <mergeCell ref="A18:C18"/>
    <mergeCell ref="A19:C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1"/>
  <sheetViews>
    <sheetView zoomScale="120" zoomScaleNormal="120" workbookViewId="0">
      <selection activeCell="H19" sqref="H19"/>
    </sheetView>
  </sheetViews>
  <sheetFormatPr baseColWidth="10" defaultColWidth="8.83203125" defaultRowHeight="13" x14ac:dyDescent="0.15"/>
  <cols>
    <col min="1" max="1" width="13.33203125" bestFit="1" customWidth="1"/>
    <col min="2" max="2" width="9.6640625" customWidth="1"/>
    <col min="3" max="3" width="10.5" customWidth="1"/>
    <col min="4" max="4" width="7.33203125" customWidth="1"/>
    <col min="5" max="5" width="1.6640625" customWidth="1"/>
    <col min="6" max="6" width="8.5" customWidth="1"/>
    <col min="10" max="10" width="26.6640625" bestFit="1" customWidth="1"/>
    <col min="11" max="15" width="7" customWidth="1"/>
  </cols>
  <sheetData>
    <row r="1" spans="1:15" ht="41.25" customHeight="1" x14ac:dyDescent="0.15">
      <c r="A1" s="31" t="s">
        <v>59</v>
      </c>
      <c r="B1" s="31"/>
      <c r="C1" s="31"/>
      <c r="D1" s="31"/>
      <c r="E1" s="31"/>
      <c r="F1" s="31"/>
      <c r="G1" s="31"/>
    </row>
    <row r="2" spans="1:15" ht="24.75" customHeight="1" x14ac:dyDescent="0.15">
      <c r="A2" s="6"/>
      <c r="B2" s="24"/>
      <c r="C2" s="32" t="s">
        <v>44</v>
      </c>
      <c r="D2" s="32"/>
      <c r="E2" s="26"/>
      <c r="F2" s="32" t="s">
        <v>45</v>
      </c>
      <c r="G2" s="32"/>
    </row>
    <row r="3" spans="1:15" ht="16" x14ac:dyDescent="0.15">
      <c r="A3" s="7"/>
      <c r="B3" s="8" t="s">
        <v>42</v>
      </c>
      <c r="C3" s="16" t="s">
        <v>47</v>
      </c>
      <c r="D3" s="25" t="s">
        <v>43</v>
      </c>
      <c r="E3" s="25"/>
      <c r="F3" s="25" t="s">
        <v>48</v>
      </c>
      <c r="G3" s="25" t="s">
        <v>46</v>
      </c>
    </row>
    <row r="4" spans="1:15" x14ac:dyDescent="0.15">
      <c r="A4" t="s">
        <v>28</v>
      </c>
      <c r="B4" s="10">
        <v>55711</v>
      </c>
      <c r="C4" s="10">
        <v>6309</v>
      </c>
      <c r="D4" s="10">
        <v>49402</v>
      </c>
      <c r="F4" s="10">
        <v>45534</v>
      </c>
      <c r="G4" s="10">
        <v>10177</v>
      </c>
      <c r="I4" s="10"/>
      <c r="J4" s="27"/>
      <c r="K4" s="28"/>
      <c r="L4" s="28"/>
      <c r="M4" s="29"/>
      <c r="N4" s="28"/>
      <c r="O4" s="28"/>
    </row>
    <row r="5" spans="1:15" x14ac:dyDescent="0.15">
      <c r="A5" t="s">
        <v>30</v>
      </c>
      <c r="B5" s="22">
        <v>27.018000000000001</v>
      </c>
      <c r="C5" s="22">
        <v>26.7</v>
      </c>
      <c r="D5" s="22">
        <v>27.058</v>
      </c>
      <c r="F5" s="22">
        <v>27.465</v>
      </c>
      <c r="G5" s="22">
        <v>25.015999999999998</v>
      </c>
      <c r="I5" s="22"/>
      <c r="J5" s="27"/>
      <c r="K5" s="10"/>
      <c r="L5" s="14"/>
      <c r="M5" s="30"/>
      <c r="N5" s="27"/>
      <c r="O5" s="27"/>
    </row>
    <row r="6" spans="1:15" x14ac:dyDescent="0.15">
      <c r="A6" t="s">
        <v>29</v>
      </c>
      <c r="B6" s="22">
        <v>6.09</v>
      </c>
      <c r="C6" s="22">
        <v>6.4640000000000004</v>
      </c>
      <c r="D6" s="22">
        <v>6.04</v>
      </c>
      <c r="F6" s="22">
        <v>5.9859999999999998</v>
      </c>
      <c r="G6" s="22">
        <v>6.1520000000000001</v>
      </c>
      <c r="I6" s="22"/>
      <c r="J6" s="27"/>
      <c r="K6" s="10"/>
      <c r="L6" s="14"/>
      <c r="M6" s="30"/>
      <c r="N6" s="27"/>
      <c r="O6" s="27"/>
    </row>
    <row r="7" spans="1:15" ht="15.75" customHeight="1" x14ac:dyDescent="0.15">
      <c r="A7" t="s">
        <v>31</v>
      </c>
      <c r="B7" s="10">
        <v>27</v>
      </c>
      <c r="C7" s="10">
        <v>26</v>
      </c>
      <c r="D7" s="10">
        <v>27</v>
      </c>
      <c r="F7" s="10">
        <v>27</v>
      </c>
      <c r="G7" s="10">
        <v>24</v>
      </c>
      <c r="I7" s="10"/>
      <c r="J7" s="27"/>
      <c r="K7" s="10"/>
      <c r="L7" s="14"/>
      <c r="M7" s="30"/>
      <c r="N7" s="27"/>
      <c r="O7" s="27"/>
    </row>
    <row r="8" spans="1:15" ht="15.75" customHeight="1" x14ac:dyDescent="0.15">
      <c r="A8" t="s">
        <v>32</v>
      </c>
      <c r="B8" s="10">
        <v>22</v>
      </c>
      <c r="C8" s="10">
        <v>21</v>
      </c>
      <c r="D8" s="10">
        <v>22</v>
      </c>
      <c r="F8" s="10">
        <v>23</v>
      </c>
      <c r="G8" s="10">
        <v>20</v>
      </c>
      <c r="I8" s="10"/>
      <c r="J8" s="27"/>
      <c r="K8" s="10"/>
      <c r="L8" s="14"/>
      <c r="M8" s="30"/>
      <c r="N8" s="27"/>
      <c r="O8" s="27"/>
    </row>
    <row r="9" spans="1:15" x14ac:dyDescent="0.15">
      <c r="A9" t="s">
        <v>33</v>
      </c>
      <c r="B9" s="10">
        <v>31</v>
      </c>
      <c r="C9" s="10">
        <v>31</v>
      </c>
      <c r="D9" s="10">
        <v>31</v>
      </c>
      <c r="F9" s="10">
        <v>32</v>
      </c>
      <c r="G9" s="10">
        <v>29</v>
      </c>
      <c r="I9" s="10"/>
      <c r="J9" s="27"/>
      <c r="K9" s="10"/>
      <c r="L9" s="14"/>
      <c r="M9" s="30"/>
      <c r="N9" s="27"/>
      <c r="O9" s="27"/>
    </row>
    <row r="10" spans="1:15" x14ac:dyDescent="0.15">
      <c r="A10" t="s">
        <v>34</v>
      </c>
      <c r="B10" s="10">
        <v>12</v>
      </c>
      <c r="C10" s="10">
        <v>13</v>
      </c>
      <c r="D10" s="10">
        <v>12</v>
      </c>
      <c r="F10" s="10">
        <v>13</v>
      </c>
      <c r="G10" s="10">
        <v>12</v>
      </c>
      <c r="I10" s="10"/>
      <c r="J10" s="27"/>
      <c r="K10" s="10"/>
      <c r="L10" s="14"/>
      <c r="M10" s="30"/>
      <c r="N10" s="27"/>
      <c r="O10" s="27"/>
    </row>
    <row r="11" spans="1:15" x14ac:dyDescent="0.15">
      <c r="A11" t="s">
        <v>35</v>
      </c>
      <c r="B11" s="10">
        <v>50</v>
      </c>
      <c r="C11" s="10">
        <v>48</v>
      </c>
      <c r="D11" s="10">
        <v>50</v>
      </c>
      <c r="F11" s="10">
        <v>50</v>
      </c>
      <c r="G11" s="10">
        <v>48</v>
      </c>
      <c r="I11" s="10"/>
      <c r="J11" s="27"/>
      <c r="K11" s="10"/>
      <c r="L11" s="14"/>
      <c r="M11" s="30"/>
      <c r="N11" s="27"/>
      <c r="O11" s="27"/>
    </row>
    <row r="12" spans="1:15" x14ac:dyDescent="0.15">
      <c r="A12" t="s">
        <v>36</v>
      </c>
      <c r="B12" s="10">
        <v>0</v>
      </c>
      <c r="C12" s="10">
        <v>0</v>
      </c>
      <c r="D12" s="10">
        <v>0</v>
      </c>
      <c r="F12" s="10">
        <v>0</v>
      </c>
      <c r="G12" s="10">
        <v>0</v>
      </c>
      <c r="I12" s="10"/>
      <c r="J12" s="27"/>
      <c r="K12" s="10"/>
      <c r="L12" s="14"/>
      <c r="M12" s="30"/>
      <c r="N12" s="27"/>
      <c r="O12" s="27"/>
    </row>
    <row r="13" spans="1:15" x14ac:dyDescent="0.15">
      <c r="A13" t="s">
        <v>37</v>
      </c>
      <c r="B13" s="22">
        <v>0.28939999999999999</v>
      </c>
      <c r="C13" s="22">
        <v>0.36</v>
      </c>
      <c r="D13" s="22">
        <v>0.28000000000000003</v>
      </c>
      <c r="F13" s="22">
        <v>0.22600000000000001</v>
      </c>
      <c r="G13" s="22">
        <v>0.69</v>
      </c>
      <c r="I13" s="22"/>
    </row>
    <row r="14" spans="1:15" x14ac:dyDescent="0.15">
      <c r="A14" t="s">
        <v>38</v>
      </c>
      <c r="B14" s="22">
        <v>-0.57899999999999996</v>
      </c>
      <c r="C14" s="22">
        <v>-0.6</v>
      </c>
      <c r="D14" s="22">
        <v>-0.57799999999999996</v>
      </c>
      <c r="F14" s="22">
        <v>-0.59</v>
      </c>
      <c r="G14" s="22">
        <v>-8.5000000000000006E-2</v>
      </c>
      <c r="I14" s="22"/>
    </row>
    <row r="15" spans="1:15" x14ac:dyDescent="0.15">
      <c r="A15" t="s">
        <v>41</v>
      </c>
      <c r="B15" s="22"/>
      <c r="C15" s="22"/>
      <c r="D15" s="22"/>
      <c r="F15" s="22"/>
      <c r="G15" s="22"/>
      <c r="I15" s="22"/>
    </row>
    <row r="16" spans="1:15" x14ac:dyDescent="0.15">
      <c r="A16" s="1" t="s">
        <v>39</v>
      </c>
      <c r="B16" s="22">
        <v>6.9000000000000006E-2</v>
      </c>
      <c r="C16" s="22">
        <v>7.6999999999999999E-2</v>
      </c>
      <c r="D16" s="22">
        <v>6.8000000000000005E-2</v>
      </c>
      <c r="F16" s="22">
        <v>6.0999999999999999E-2</v>
      </c>
      <c r="G16" s="22">
        <v>0.105</v>
      </c>
      <c r="I16" s="22"/>
    </row>
    <row r="17" spans="1:9" x14ac:dyDescent="0.15">
      <c r="A17" s="4" t="s">
        <v>40</v>
      </c>
      <c r="B17" s="23" t="s">
        <v>66</v>
      </c>
      <c r="C17" s="23" t="s">
        <v>66</v>
      </c>
      <c r="D17" s="23" t="s">
        <v>66</v>
      </c>
      <c r="E17" s="3"/>
      <c r="F17" s="23" t="s">
        <v>66</v>
      </c>
      <c r="G17" s="23" t="s">
        <v>66</v>
      </c>
      <c r="I17" s="39"/>
    </row>
    <row r="18" spans="1:9" s="17" customFormat="1" ht="24.75" customHeight="1" x14ac:dyDescent="0.15">
      <c r="A18" s="35" t="s">
        <v>50</v>
      </c>
      <c r="B18" s="35"/>
      <c r="C18" s="35"/>
      <c r="D18" s="35"/>
      <c r="E18" s="35"/>
      <c r="F18" s="35"/>
      <c r="G18" s="35"/>
    </row>
    <row r="19" spans="1:9" s="17" customFormat="1" ht="31.5" customHeight="1" x14ac:dyDescent="0.15">
      <c r="A19" s="38" t="s">
        <v>52</v>
      </c>
      <c r="B19" s="38"/>
      <c r="C19" s="38"/>
      <c r="D19" s="38"/>
      <c r="E19" s="38"/>
      <c r="F19" s="38"/>
      <c r="G19" s="38"/>
    </row>
    <row r="20" spans="1:9" ht="15.75" customHeight="1" x14ac:dyDescent="0.15"/>
    <row r="21" spans="1:9" ht="15.75" customHeight="1" x14ac:dyDescent="0.15"/>
    <row r="22" spans="1:9" ht="15.75" customHeight="1" x14ac:dyDescent="0.15"/>
    <row r="23" spans="1:9" ht="15.75" customHeight="1" x14ac:dyDescent="0.15"/>
    <row r="25" spans="1:9" ht="15.75" customHeight="1" x14ac:dyDescent="0.15"/>
    <row r="26" spans="1:9" ht="15.75" customHeight="1" x14ac:dyDescent="0.15"/>
    <row r="27" spans="1:9" ht="15.75" customHeight="1" x14ac:dyDescent="0.15"/>
    <row r="28" spans="1:9" ht="31.5" customHeight="1" x14ac:dyDescent="0.15"/>
    <row r="31" spans="1:9" ht="31.5" customHeight="1" x14ac:dyDescent="0.15"/>
    <row r="33" ht="31.5" customHeight="1" x14ac:dyDescent="0.15"/>
    <row r="42" ht="15.75" customHeight="1" x14ac:dyDescent="0.15"/>
    <row r="43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51" ht="15.75" customHeight="1" x14ac:dyDescent="0.15"/>
  </sheetData>
  <mergeCells count="5">
    <mergeCell ref="A18:G18"/>
    <mergeCell ref="A19:G19"/>
    <mergeCell ref="C2:D2"/>
    <mergeCell ref="F2:G2"/>
    <mergeCell ref="A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251C11E0F6D4B9D2948176D0627E5" ma:contentTypeVersion="9" ma:contentTypeDescription="Create a new document." ma:contentTypeScope="" ma:versionID="37196c0f3110b2e4bc6c7c17681fff3e">
  <xsd:schema xmlns:xsd="http://www.w3.org/2001/XMLSchema" xmlns:xs="http://www.w3.org/2001/XMLSchema" xmlns:p="http://schemas.microsoft.com/office/2006/metadata/properties" xmlns:ns3="cd26d42d-d760-4071-88bf-bf0230af318d" targetNamespace="http://schemas.microsoft.com/office/2006/metadata/properties" ma:root="true" ma:fieldsID="0ee2a2942770b1dbdf2be88a94d4f683" ns3:_="">
    <xsd:import namespace="cd26d42d-d760-4071-88bf-bf0230af31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6d42d-d760-4071-88bf-bf0230af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B143DE-68A1-478A-8285-F454F2BD8E2F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cd26d42d-d760-4071-88bf-bf0230af318d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0A17A-C751-48EB-B731-C59FDCAF8D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54314E-CA63-4CFB-BF7E-C764924016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6d42d-d760-4071-88bf-bf0230af3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  <Company>Rollins School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Howards</dc:creator>
  <cp:lastModifiedBy>Bryanda Guadalupe Amillano Meza</cp:lastModifiedBy>
  <cp:lastPrinted>2010-01-19T22:18:06Z</cp:lastPrinted>
  <dcterms:created xsi:type="dcterms:W3CDTF">2009-12-22T21:58:22Z</dcterms:created>
  <dcterms:modified xsi:type="dcterms:W3CDTF">2024-02-17T20:00:56Z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0x0101001DD251C11E0F6D4B9D2948176D0627E5</vt:lpwstr>
  </property>
</Properties>
</file>