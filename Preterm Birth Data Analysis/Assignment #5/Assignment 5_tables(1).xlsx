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filterPrivacy="1" defaultThemeVersion="124226"/>
  <xr:revisionPtr revIDLastSave="0" documentId="13_ncr:1_{2844F8A0-C17B-094A-9215-114FBADF4ABE}" xr6:coauthVersionLast="47" xr6:coauthVersionMax="47" xr10:uidLastSave="{00000000-0000-0000-0000-000000000000}"/>
  <bookViews>
    <workbookView showHorizontalScroll="0" showVerticalScroll="0" xWindow="0" yWindow="500" windowWidth="12460" windowHeight="14320" xr2:uid="{00000000-000D-0000-FFFF-FFFF00000000}"/>
  </bookViews>
  <sheets>
    <sheet name="Table 1" sheetId="1" r:id="rId1"/>
    <sheet name="Table 2 &amp; 3" sheetId="2" r:id="rId2"/>
    <sheet name="Table 4" sheetId="3" r:id="rId3"/>
    <sheet name="Table 5" sheetId="4" r:id="rId4"/>
  </sheets>
  <definedNames>
    <definedName name="_xlnm._FilterDatabase" localSheetId="0" hidden="1">'Table 1'!$A$2:$M$47</definedName>
    <definedName name="_xlnm.Print_Titles" localSheetId="0">'Table 1'!$1:$2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3" l="1"/>
  <c r="I24" i="3"/>
  <c r="I22" i="3"/>
  <c r="I20" i="3"/>
  <c r="G20" i="3"/>
  <c r="H20" i="3" s="1"/>
  <c r="I18" i="3"/>
  <c r="I16" i="3"/>
  <c r="I14" i="3"/>
  <c r="I12" i="3"/>
  <c r="H26" i="3"/>
  <c r="H24" i="3"/>
  <c r="H22" i="3"/>
  <c r="H18" i="3"/>
  <c r="H16" i="3"/>
  <c r="H14" i="3"/>
  <c r="H12" i="3"/>
  <c r="G27" i="3"/>
  <c r="G26" i="3"/>
  <c r="G25" i="3"/>
  <c r="E25" i="3"/>
  <c r="G24" i="3"/>
  <c r="G23" i="3"/>
  <c r="G22" i="3"/>
  <c r="G21" i="3"/>
  <c r="G19" i="3"/>
  <c r="G18" i="3"/>
  <c r="G17" i="3"/>
  <c r="G16" i="3"/>
  <c r="G15" i="3"/>
  <c r="G14" i="3"/>
  <c r="E14" i="3"/>
  <c r="G13" i="3"/>
  <c r="G12" i="3"/>
  <c r="E27" i="3"/>
  <c r="E26" i="3"/>
  <c r="E23" i="3"/>
  <c r="E21" i="3"/>
  <c r="E19" i="3"/>
  <c r="E17" i="3"/>
  <c r="E15" i="3"/>
  <c r="E24" i="3"/>
  <c r="E22" i="3"/>
  <c r="E20" i="3"/>
  <c r="E18" i="3"/>
  <c r="E16" i="3"/>
  <c r="E12" i="3"/>
  <c r="E13" i="3"/>
  <c r="B5" i="2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3" i="1"/>
  <c r="B4" i="2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3" i="1"/>
  <c r="F3" i="1" s="1"/>
</calcChain>
</file>

<file path=xl/sharedStrings.xml><?xml version="1.0" encoding="utf-8"?>
<sst xmlns="http://schemas.openxmlformats.org/spreadsheetml/2006/main" count="208" uniqueCount="68">
  <si>
    <t>Summary RRadj</t>
  </si>
  <si>
    <t>Direction of bias</t>
  </si>
  <si>
    <t>Relation of Bias to Null</t>
  </si>
  <si>
    <r>
      <t>RR</t>
    </r>
    <r>
      <rPr>
        <b/>
        <vertAlign val="subscript"/>
        <sz val="10"/>
        <color indexed="8"/>
        <rFont val="Arial"/>
        <family val="2"/>
      </rPr>
      <t>obs</t>
    </r>
  </si>
  <si>
    <r>
      <t>RR</t>
    </r>
    <r>
      <rPr>
        <b/>
        <vertAlign val="subscript"/>
        <sz val="10"/>
        <color indexed="8"/>
        <rFont val="Arial"/>
        <family val="2"/>
      </rPr>
      <t>conf</t>
    </r>
  </si>
  <si>
    <r>
      <t>p</t>
    </r>
    <r>
      <rPr>
        <b/>
        <vertAlign val="subscript"/>
        <sz val="10"/>
        <color indexed="8"/>
        <rFont val="Arial"/>
        <family val="2"/>
      </rPr>
      <t>1</t>
    </r>
  </si>
  <si>
    <r>
      <t>p</t>
    </r>
    <r>
      <rPr>
        <b/>
        <vertAlign val="subscript"/>
        <sz val="10"/>
        <color indexed="8"/>
        <rFont val="Arial"/>
        <family val="2"/>
      </rPr>
      <t>0</t>
    </r>
  </si>
  <si>
    <r>
      <t>RR</t>
    </r>
    <r>
      <rPr>
        <b/>
        <vertAlign val="subscript"/>
        <sz val="10"/>
        <color indexed="8"/>
        <rFont val="Arial"/>
        <family val="2"/>
      </rPr>
      <t>adj</t>
    </r>
  </si>
  <si>
    <r>
      <t>ln(RR</t>
    </r>
    <r>
      <rPr>
        <b/>
        <vertAlign val="subscript"/>
        <sz val="10"/>
        <color indexed="8"/>
        <rFont val="Arial"/>
        <family val="2"/>
      </rPr>
      <t>adj</t>
    </r>
    <r>
      <rPr>
        <b/>
        <sz val="10"/>
        <color indexed="8"/>
        <rFont val="Arial"/>
        <family val="2"/>
      </rPr>
      <t>)</t>
    </r>
  </si>
  <si>
    <r>
      <t>Weight RR</t>
    </r>
    <r>
      <rPr>
        <b/>
        <vertAlign val="subscript"/>
        <sz val="10"/>
        <color indexed="8"/>
        <rFont val="Arial"/>
        <family val="2"/>
      </rPr>
      <t>conf</t>
    </r>
  </si>
  <si>
    <r>
      <t>Weight p</t>
    </r>
    <r>
      <rPr>
        <b/>
        <vertAlign val="subscript"/>
        <sz val="10"/>
        <color indexed="8"/>
        <rFont val="Arial"/>
        <family val="2"/>
      </rPr>
      <t>1</t>
    </r>
  </si>
  <si>
    <r>
      <t>Weight p</t>
    </r>
    <r>
      <rPr>
        <b/>
        <vertAlign val="subscript"/>
        <sz val="10"/>
        <color indexed="8"/>
        <rFont val="Arial"/>
        <family val="2"/>
      </rPr>
      <t>0</t>
    </r>
  </si>
  <si>
    <t>Total Weight</t>
  </si>
  <si>
    <r>
      <t>Weight*ln(RR</t>
    </r>
    <r>
      <rPr>
        <b/>
        <vertAlign val="subscript"/>
        <sz val="10"/>
        <color indexed="8"/>
        <rFont val="Arial"/>
        <family val="2"/>
      </rPr>
      <t>adj</t>
    </r>
    <r>
      <rPr>
        <b/>
        <sz val="10"/>
        <color indexed="8"/>
        <rFont val="Arial"/>
        <family val="2"/>
      </rPr>
      <t>)</t>
    </r>
  </si>
  <si>
    <t>Lower bound</t>
  </si>
  <si>
    <t>Upper bound</t>
  </si>
  <si>
    <t xml:space="preserve">Lower mode </t>
  </si>
  <si>
    <t>Upper mode</t>
  </si>
  <si>
    <t>95% Bias Correction Interval</t>
  </si>
  <si>
    <t>Seed</t>
  </si>
  <si>
    <t>Scenario</t>
  </si>
  <si>
    <t>Early care</t>
  </si>
  <si>
    <t>Sensitivity</t>
  </si>
  <si>
    <t>Specificity</t>
  </si>
  <si>
    <t>Risk</t>
  </si>
  <si>
    <t>Yes</t>
  </si>
  <si>
    <t>No</t>
  </si>
  <si>
    <t>Number Preterm</t>
  </si>
  <si>
    <t>Total Number</t>
  </si>
  <si>
    <r>
      <t>RR</t>
    </r>
    <r>
      <rPr>
        <b/>
        <vertAlign val="subscript"/>
        <sz val="10"/>
        <color indexed="8"/>
        <rFont val="Arial"/>
        <family val="2"/>
      </rPr>
      <t>corr</t>
    </r>
  </si>
  <si>
    <t>Up</t>
  </si>
  <si>
    <t>Towards</t>
  </si>
  <si>
    <t>Unbiased</t>
  </si>
  <si>
    <t>Minimum RRadj</t>
  </si>
  <si>
    <t>Maximum RRadj</t>
  </si>
  <si>
    <t>Simple Sensitivity Analysis</t>
  </si>
  <si>
    <t>Weighted</t>
  </si>
  <si>
    <t>Unweighted</t>
  </si>
  <si>
    <t>Version 1</t>
  </si>
  <si>
    <t>Version 2</t>
  </si>
  <si>
    <t>Monte Carlo Simulation Sensitivity Analysis</t>
  </si>
  <si>
    <r>
      <rPr>
        <b/>
        <sz val="10"/>
        <color indexed="8"/>
        <rFont val="Arial"/>
        <family val="2"/>
      </rPr>
      <t>p</t>
    </r>
    <r>
      <rPr>
        <b/>
        <vertAlign val="subscript"/>
        <sz val="10"/>
        <color indexed="8"/>
        <rFont val="Arial"/>
        <family val="2"/>
      </rPr>
      <t>1</t>
    </r>
  </si>
  <si>
    <t>RDcorr</t>
  </si>
  <si>
    <t>Observed</t>
  </si>
  <si>
    <t>Number Term</t>
  </si>
  <si>
    <r>
      <t>RD</t>
    </r>
    <r>
      <rPr>
        <b/>
        <vertAlign val="subscript"/>
        <sz val="10"/>
        <color indexed="8"/>
        <rFont val="Arial"/>
        <family val="2"/>
      </rPr>
      <t>obs</t>
    </r>
  </si>
  <si>
    <r>
      <t>RR</t>
    </r>
    <r>
      <rPr>
        <b/>
        <vertAlign val="subscript"/>
        <sz val="10"/>
        <color indexed="8"/>
        <rFont val="Arial"/>
        <family val="2"/>
      </rPr>
      <t>obs</t>
    </r>
  </si>
  <si>
    <t>Table 1.  Simple Sensitivity Analyses of Potential Confounding by Marital Status</t>
  </si>
  <si>
    <t>Table 2.  Summary of Results from the Sensitivity Analyses of the Influence of the Unmeasured Confounder Marital Status</t>
  </si>
  <si>
    <t>Table 3.  Values You Picked for the Trapezoidal Distributions</t>
  </si>
  <si>
    <t>Table 4a.  Observed Data</t>
  </si>
  <si>
    <t>towards</t>
  </si>
  <si>
    <t>Unadjusted</t>
  </si>
  <si>
    <r>
      <t>Fully adjusted</t>
    </r>
    <r>
      <rPr>
        <b/>
        <vertAlign val="superscript"/>
        <sz val="10"/>
        <rFont val="Arial"/>
        <family val="2"/>
      </rPr>
      <t>a</t>
    </r>
  </si>
  <si>
    <t>RR</t>
  </si>
  <si>
    <t>Lower</t>
  </si>
  <si>
    <t>Upper</t>
  </si>
  <si>
    <t>MAIN EXPOSURE</t>
  </si>
  <si>
    <t>Early Entry into Prenatal Care</t>
  </si>
  <si>
    <t>MAIN EXPOSURE (all missing = exposed)</t>
  </si>
  <si>
    <t>MAIN EXPOSURE (all missing = unexposed)</t>
  </si>
  <si>
    <t>MAIN EXPOSURE (with weighting)</t>
  </si>
  <si>
    <r>
      <rPr>
        <vertAlign val="superscript"/>
        <sz val="10"/>
        <rFont val="Arial"/>
        <family val="2"/>
      </rPr>
      <t>a</t>
    </r>
    <r>
      <rPr>
        <sz val="10"/>
        <rFont val="Arial"/>
        <family val="2"/>
      </rPr>
      <t>Fully adjusted model, adjusted for maternal race/ethincity, smoking, and age</t>
    </r>
  </si>
  <si>
    <t>Table 5. Estimates for early entry into prenatal care and preterm birth accounting for selection bias</t>
  </si>
  <si>
    <t>Table 4.  Simple Sensitivity Analysis of Misclassification of Preterm Birth (Rdcorr and RR corr are bias corrected)</t>
  </si>
  <si>
    <t>Down</t>
  </si>
  <si>
    <t>Away</t>
  </si>
  <si>
    <t>Past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</si>
</sst>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#,##0.0000"/>
    <numFmt numFmtId="166" formatCode="#,##0.0"/>
    <numFmt numFmtId="167" formatCode="0.0000"/>
  </numFmts>
  <fonts count="9" x14ac:knownFonts="1"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vertAlign val="subscript"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2" fontId="0" fillId="0" borderId="0" xfId="0" applyNumberFormat="1"/>
    <xf numFmtId="2" fontId="5" fillId="0" borderId="0" xfId="0" applyNumberFormat="1" applyFont="1"/>
    <xf numFmtId="164" fontId="5" fillId="0" borderId="0" xfId="0" applyNumberFormat="1" applyFont="1"/>
    <xf numFmtId="0" fontId="0" fillId="0" borderId="0" xfId="0" applyAlignment="1">
      <alignment horizontal="right"/>
    </xf>
    <xf numFmtId="2" fontId="5" fillId="2" borderId="0" xfId="0" applyNumberFormat="1" applyFont="1" applyFill="1"/>
    <xf numFmtId="0" fontId="4" fillId="0" borderId="0" xfId="0" applyFont="1"/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wrapText="1"/>
    </xf>
    <xf numFmtId="2" fontId="0" fillId="0" borderId="2" xfId="0" applyNumberFormat="1" applyBorder="1"/>
    <xf numFmtId="2" fontId="5" fillId="0" borderId="2" xfId="0" applyNumberFormat="1" applyFont="1" applyBorder="1"/>
    <xf numFmtId="164" fontId="5" fillId="0" borderId="2" xfId="0" applyNumberFormat="1" applyFont="1" applyBorder="1"/>
    <xf numFmtId="0" fontId="0" fillId="0" borderId="2" xfId="0" applyBorder="1"/>
    <xf numFmtId="164" fontId="0" fillId="0" borderId="0" xfId="0" applyNumberFormat="1"/>
    <xf numFmtId="164" fontId="4" fillId="0" borderId="1" xfId="0" applyNumberFormat="1" applyFont="1" applyBorder="1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0" fillId="0" borderId="3" xfId="0" applyBorder="1"/>
    <xf numFmtId="2" fontId="0" fillId="0" borderId="3" xfId="0" applyNumberFormat="1" applyBorder="1"/>
    <xf numFmtId="3" fontId="3" fillId="0" borderId="3" xfId="0" applyNumberFormat="1" applyFont="1" applyBorder="1"/>
    <xf numFmtId="165" fontId="5" fillId="0" borderId="3" xfId="0" applyNumberFormat="1" applyFont="1" applyBorder="1"/>
    <xf numFmtId="3" fontId="3" fillId="0" borderId="2" xfId="0" applyNumberFormat="1" applyFont="1" applyBorder="1"/>
    <xf numFmtId="165" fontId="5" fillId="0" borderId="2" xfId="0" applyNumberFormat="1" applyFont="1" applyBorder="1"/>
    <xf numFmtId="166" fontId="5" fillId="0" borderId="3" xfId="0" applyNumberFormat="1" applyFont="1" applyBorder="1"/>
    <xf numFmtId="166" fontId="5" fillId="0" borderId="2" xfId="0" applyNumberFormat="1" applyFont="1" applyBorder="1"/>
    <xf numFmtId="165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indent="1"/>
    </xf>
    <xf numFmtId="2" fontId="5" fillId="0" borderId="0" xfId="0" applyNumberFormat="1" applyFont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1" fontId="5" fillId="0" borderId="0" xfId="0" applyNumberFormat="1" applyFont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 vertical="top"/>
    </xf>
    <xf numFmtId="2" fontId="0" fillId="0" borderId="2" xfId="0" applyNumberFormat="1" applyBorder="1" applyAlignment="1">
      <alignment horizontal="center" vertical="top"/>
    </xf>
    <xf numFmtId="165" fontId="0" fillId="0" borderId="3" xfId="0" applyNumberFormat="1" applyBorder="1"/>
    <xf numFmtId="165" fontId="0" fillId="0" borderId="2" xfId="0" applyNumberFormat="1" applyBorder="1"/>
    <xf numFmtId="166" fontId="3" fillId="0" borderId="3" xfId="0" applyNumberFormat="1" applyFont="1" applyBorder="1"/>
    <xf numFmtId="166" fontId="3" fillId="0" borderId="2" xfId="0" applyNumberFormat="1" applyFont="1" applyBorder="1"/>
    <xf numFmtId="165" fontId="3" fillId="0" borderId="3" xfId="0" applyNumberFormat="1" applyFont="1" applyBorder="1"/>
    <xf numFmtId="165" fontId="3" fillId="0" borderId="2" xfId="0" applyNumberFormat="1" applyFont="1" applyBorder="1"/>
    <xf numFmtId="0" fontId="6" fillId="0" borderId="2" xfId="0" applyFont="1" applyBorder="1" applyAlignment="1">
      <alignment horizontal="center"/>
    </xf>
    <xf numFmtId="0" fontId="0" fillId="2" borderId="0" xfId="0" applyFill="1" applyAlignment="1">
      <alignment vertical="top"/>
    </xf>
    <xf numFmtId="0" fontId="6" fillId="0" borderId="0" xfId="0" applyFont="1" applyAlignment="1">
      <alignment vertical="top"/>
    </xf>
    <xf numFmtId="2" fontId="5" fillId="0" borderId="0" xfId="0" applyNumberFormat="1" applyFont="1" applyAlignment="1">
      <alignment horizontal="center" vertical="top"/>
    </xf>
    <xf numFmtId="0" fontId="6" fillId="0" borderId="2" xfId="0" applyFont="1" applyBorder="1" applyAlignment="1">
      <alignment vertical="top"/>
    </xf>
    <xf numFmtId="2" fontId="5" fillId="0" borderId="2" xfId="0" applyNumberFormat="1" applyFont="1" applyBorder="1" applyAlignment="1">
      <alignment horizontal="center" vertical="top"/>
    </xf>
    <xf numFmtId="2" fontId="5" fillId="0" borderId="0" xfId="0" quotePrefix="1" applyNumberFormat="1" applyFont="1"/>
    <xf numFmtId="166" fontId="5" fillId="0" borderId="0" xfId="0" applyNumberFormat="1" applyFont="1"/>
    <xf numFmtId="166" fontId="3" fillId="0" borderId="0" xfId="0" applyNumberFormat="1" applyFont="1"/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7" fontId="5" fillId="0" borderId="3" xfId="0" applyNumberFormat="1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7" fontId="0" fillId="0" borderId="3" xfId="0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167" fontId="3" fillId="0" borderId="2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zoomScaleNormal="100" workbookViewId="0">
      <selection activeCell="G51" sqref="G51"/>
    </sheetView>
  </sheetViews>
  <sheetFormatPr baseColWidth="10" defaultColWidth="8.83203125" defaultRowHeight="13" x14ac:dyDescent="0.15"/>
  <cols>
    <col min="1" max="2" width="7.5" customWidth="1"/>
    <col min="3" max="4" width="7.5" style="1" customWidth="1"/>
    <col min="5" max="5" width="7.5" customWidth="1"/>
    <col min="6" max="6" width="8.5" bestFit="1" customWidth="1"/>
    <col min="7" max="7" width="9.6640625" customWidth="1"/>
    <col min="8" max="8" width="13.5" customWidth="1"/>
    <col min="9" max="9" width="7.5" style="1" bestFit="1" customWidth="1"/>
    <col min="10" max="10" width="7.5" style="1" customWidth="1"/>
    <col min="11" max="12" width="7.5" style="1" bestFit="1" customWidth="1"/>
    <col min="13" max="13" width="15.1640625" style="15" bestFit="1" customWidth="1"/>
  </cols>
  <sheetData>
    <row r="1" spans="1:13" x14ac:dyDescent="0.15">
      <c r="A1" s="6" t="s">
        <v>47</v>
      </c>
    </row>
    <row r="2" spans="1:13" ht="30" x14ac:dyDescent="0.2">
      <c r="A2" s="7" t="s">
        <v>3</v>
      </c>
      <c r="B2" s="7" t="s">
        <v>4</v>
      </c>
      <c r="C2" s="8" t="s">
        <v>5</v>
      </c>
      <c r="D2" s="8" t="s">
        <v>6</v>
      </c>
      <c r="E2" s="7" t="s">
        <v>7</v>
      </c>
      <c r="F2" s="7" t="s">
        <v>8</v>
      </c>
      <c r="G2" s="9" t="s">
        <v>1</v>
      </c>
      <c r="H2" s="9" t="s">
        <v>2</v>
      </c>
      <c r="I2" s="10" t="s">
        <v>9</v>
      </c>
      <c r="J2" s="10" t="s">
        <v>10</v>
      </c>
      <c r="K2" s="10" t="s">
        <v>11</v>
      </c>
      <c r="L2" s="10" t="s">
        <v>12</v>
      </c>
      <c r="M2" s="16" t="s">
        <v>13</v>
      </c>
    </row>
    <row r="3" spans="1:13" x14ac:dyDescent="0.15">
      <c r="A3" s="41">
        <v>0.85209999999999997</v>
      </c>
      <c r="B3" s="37">
        <v>0.9</v>
      </c>
      <c r="C3" s="37">
        <v>0.25</v>
      </c>
      <c r="D3" s="37">
        <v>0.45</v>
      </c>
      <c r="E3" s="34">
        <f t="shared" ref="E3:E47" si="0">(A3)/((C3*(B3-1) +1)/ (D3*(B3-1) +1))</f>
        <v>0.83462102564102558</v>
      </c>
      <c r="F3" s="2">
        <f t="shared" ref="F3:F47" si="1">LN(E3)</f>
        <v>-0.18077751866534378</v>
      </c>
      <c r="G3" s="28" t="s">
        <v>30</v>
      </c>
      <c r="H3" s="28" t="s">
        <v>31</v>
      </c>
      <c r="I3" s="37">
        <v>0.1</v>
      </c>
      <c r="J3" s="37">
        <v>0.25</v>
      </c>
      <c r="K3" s="37">
        <v>0.25</v>
      </c>
      <c r="L3" s="34">
        <f>I3*J3*K3</f>
        <v>6.2500000000000003E-3</v>
      </c>
      <c r="M3" s="3">
        <f>L3*F3</f>
        <v>-1.1298594916583987E-3</v>
      </c>
    </row>
    <row r="4" spans="1:13" x14ac:dyDescent="0.15">
      <c r="A4" s="41">
        <v>0.85209999999999997</v>
      </c>
      <c r="B4" s="37">
        <v>0.9</v>
      </c>
      <c r="C4" s="37">
        <v>0.25</v>
      </c>
      <c r="D4" s="37">
        <v>0.55000000000000004</v>
      </c>
      <c r="E4" s="34">
        <f t="shared" si="0"/>
        <v>0.82588153846153856</v>
      </c>
      <c r="F4" s="2">
        <f t="shared" si="1"/>
        <v>-0.19130393165233109</v>
      </c>
      <c r="G4" s="28" t="s">
        <v>30</v>
      </c>
      <c r="H4" s="28" t="s">
        <v>31</v>
      </c>
      <c r="I4" s="37">
        <v>0.1</v>
      </c>
      <c r="J4" s="37">
        <v>0.25</v>
      </c>
      <c r="K4" s="37">
        <v>0.5</v>
      </c>
      <c r="L4" s="34">
        <f t="shared" ref="L4:L47" si="2">I4*J4*K4</f>
        <v>1.2500000000000001E-2</v>
      </c>
      <c r="M4" s="3">
        <f t="shared" ref="M4:M47" si="3">L4*F4</f>
        <v>-2.3912991456541389E-3</v>
      </c>
    </row>
    <row r="5" spans="1:13" x14ac:dyDescent="0.15">
      <c r="A5" s="41">
        <v>0.85209999999999997</v>
      </c>
      <c r="B5" s="37">
        <v>0.9</v>
      </c>
      <c r="C5" s="37">
        <v>0.25</v>
      </c>
      <c r="D5" s="37">
        <v>0.65</v>
      </c>
      <c r="E5" s="34">
        <f t="shared" si="0"/>
        <v>0.81714205128205131</v>
      </c>
      <c r="F5" s="2">
        <f t="shared" si="1"/>
        <v>-0.20194232985738692</v>
      </c>
      <c r="G5" s="28" t="s">
        <v>30</v>
      </c>
      <c r="H5" s="28" t="s">
        <v>31</v>
      </c>
      <c r="I5" s="37">
        <v>0.1</v>
      </c>
      <c r="J5" s="37">
        <v>0.25</v>
      </c>
      <c r="K5" s="37">
        <v>0.25</v>
      </c>
      <c r="L5" s="34">
        <f t="shared" si="2"/>
        <v>6.2500000000000003E-3</v>
      </c>
      <c r="M5" s="3">
        <f t="shared" si="3"/>
        <v>-1.2621395616086682E-3</v>
      </c>
    </row>
    <row r="6" spans="1:13" x14ac:dyDescent="0.15">
      <c r="A6" s="41">
        <v>0.85209999999999997</v>
      </c>
      <c r="B6" s="37">
        <v>0.9</v>
      </c>
      <c r="C6" s="37">
        <v>0.3</v>
      </c>
      <c r="D6" s="37">
        <v>0.45</v>
      </c>
      <c r="E6" s="34">
        <f t="shared" si="0"/>
        <v>0.83892319587628861</v>
      </c>
      <c r="F6" s="2">
        <f t="shared" si="1"/>
        <v>-0.17563611916492508</v>
      </c>
      <c r="G6" s="28" t="s">
        <v>30</v>
      </c>
      <c r="H6" s="28" t="s">
        <v>31</v>
      </c>
      <c r="I6" s="37">
        <v>0.1</v>
      </c>
      <c r="J6" s="37">
        <v>0.5</v>
      </c>
      <c r="K6" s="37">
        <v>0.25</v>
      </c>
      <c r="L6" s="34">
        <f t="shared" si="2"/>
        <v>1.2500000000000001E-2</v>
      </c>
      <c r="M6" s="3">
        <f t="shared" si="3"/>
        <v>-2.1954514895615638E-3</v>
      </c>
    </row>
    <row r="7" spans="1:13" x14ac:dyDescent="0.15">
      <c r="A7" s="41">
        <v>0.85209999999999997</v>
      </c>
      <c r="B7" s="37">
        <v>0.9</v>
      </c>
      <c r="C7" s="37">
        <v>0.3</v>
      </c>
      <c r="D7" s="37">
        <v>0.55000000000000004</v>
      </c>
      <c r="E7" s="34">
        <f t="shared" si="0"/>
        <v>0.83013865979381452</v>
      </c>
      <c r="F7" s="2">
        <f t="shared" si="1"/>
        <v>-0.18616253215191242</v>
      </c>
      <c r="G7" s="28" t="s">
        <v>30</v>
      </c>
      <c r="H7" s="28" t="s">
        <v>31</v>
      </c>
      <c r="I7" s="37">
        <v>0.1</v>
      </c>
      <c r="J7" s="37">
        <v>0.5</v>
      </c>
      <c r="K7" s="37">
        <v>0.5</v>
      </c>
      <c r="L7" s="34">
        <f t="shared" si="2"/>
        <v>2.5000000000000001E-2</v>
      </c>
      <c r="M7" s="3">
        <f t="shared" si="3"/>
        <v>-4.6540633037978106E-3</v>
      </c>
    </row>
    <row r="8" spans="1:13" x14ac:dyDescent="0.15">
      <c r="A8" s="41">
        <v>0.85209999999999997</v>
      </c>
      <c r="B8" s="37">
        <v>0.9</v>
      </c>
      <c r="C8" s="37">
        <v>0.3</v>
      </c>
      <c r="D8" s="37">
        <v>0.65</v>
      </c>
      <c r="E8" s="34">
        <f t="shared" si="0"/>
        <v>0.8213541237113402</v>
      </c>
      <c r="F8" s="2">
        <f t="shared" si="1"/>
        <v>-0.19680093035696827</v>
      </c>
      <c r="G8" s="28" t="s">
        <v>30</v>
      </c>
      <c r="H8" s="28" t="s">
        <v>31</v>
      </c>
      <c r="I8" s="37">
        <v>0.1</v>
      </c>
      <c r="J8" s="37">
        <v>0.5</v>
      </c>
      <c r="K8" s="37">
        <v>0.25</v>
      </c>
      <c r="L8" s="34">
        <f t="shared" si="2"/>
        <v>1.2500000000000001E-2</v>
      </c>
      <c r="M8" s="3">
        <f t="shared" si="3"/>
        <v>-2.4600116294621038E-3</v>
      </c>
    </row>
    <row r="9" spans="1:13" x14ac:dyDescent="0.15">
      <c r="A9" s="41">
        <v>0.85209999999999997</v>
      </c>
      <c r="B9" s="37">
        <v>0.9</v>
      </c>
      <c r="C9" s="37">
        <v>0.35</v>
      </c>
      <c r="D9" s="37">
        <v>0.45</v>
      </c>
      <c r="E9" s="34">
        <f t="shared" si="0"/>
        <v>0.84326994818652856</v>
      </c>
      <c r="F9" s="2">
        <f t="shared" si="1"/>
        <v>-0.17046814900648238</v>
      </c>
      <c r="G9" s="28" t="s">
        <v>30</v>
      </c>
      <c r="H9" s="28" t="s">
        <v>31</v>
      </c>
      <c r="I9" s="37">
        <v>0.1</v>
      </c>
      <c r="J9" s="37">
        <v>0.25</v>
      </c>
      <c r="K9" s="37">
        <v>0.25</v>
      </c>
      <c r="L9" s="34">
        <f t="shared" si="2"/>
        <v>6.2500000000000003E-3</v>
      </c>
      <c r="M9" s="3">
        <f t="shared" si="3"/>
        <v>-1.065425931290515E-3</v>
      </c>
    </row>
    <row r="10" spans="1:13" x14ac:dyDescent="0.15">
      <c r="A10" s="41">
        <v>0.85209999999999997</v>
      </c>
      <c r="B10" s="37">
        <v>0.9</v>
      </c>
      <c r="C10" s="37">
        <v>0.35</v>
      </c>
      <c r="D10" s="37">
        <v>0.55000000000000004</v>
      </c>
      <c r="E10" s="34">
        <f t="shared" si="0"/>
        <v>0.83443989637305693</v>
      </c>
      <c r="F10" s="2">
        <f t="shared" si="1"/>
        <v>-0.18099456199347003</v>
      </c>
      <c r="G10" s="28" t="s">
        <v>30</v>
      </c>
      <c r="H10" s="28" t="s">
        <v>31</v>
      </c>
      <c r="I10" s="37">
        <v>0.1</v>
      </c>
      <c r="J10" s="37">
        <v>0.25</v>
      </c>
      <c r="K10" s="37">
        <v>0.5</v>
      </c>
      <c r="L10" s="34">
        <f t="shared" si="2"/>
        <v>1.2500000000000001E-2</v>
      </c>
      <c r="M10" s="3">
        <f t="shared" si="3"/>
        <v>-2.2624320249183755E-3</v>
      </c>
    </row>
    <row r="11" spans="1:13" x14ac:dyDescent="0.15">
      <c r="A11" s="41">
        <v>0.85209999999999997</v>
      </c>
      <c r="B11" s="37">
        <v>0.9</v>
      </c>
      <c r="C11" s="37">
        <v>0.35</v>
      </c>
      <c r="D11" s="37">
        <v>0.65</v>
      </c>
      <c r="E11" s="34">
        <f t="shared" si="0"/>
        <v>0.82560984455958553</v>
      </c>
      <c r="F11" s="2">
        <f t="shared" si="1"/>
        <v>-0.19163296019852566</v>
      </c>
      <c r="G11" s="28" t="s">
        <v>30</v>
      </c>
      <c r="H11" s="28" t="s">
        <v>31</v>
      </c>
      <c r="I11" s="37">
        <v>0.1</v>
      </c>
      <c r="J11" s="37">
        <v>0.25</v>
      </c>
      <c r="K11" s="37">
        <v>0.25</v>
      </c>
      <c r="L11" s="34">
        <f t="shared" si="2"/>
        <v>6.2500000000000003E-3</v>
      </c>
      <c r="M11" s="3">
        <f t="shared" si="3"/>
        <v>-1.1977060012407855E-3</v>
      </c>
    </row>
    <row r="12" spans="1:13" x14ac:dyDescent="0.15">
      <c r="A12" s="41">
        <v>0.85209999999999997</v>
      </c>
      <c r="B12" s="37">
        <v>1</v>
      </c>
      <c r="C12" s="37">
        <v>0.25</v>
      </c>
      <c r="D12" s="37">
        <v>0.45</v>
      </c>
      <c r="E12" s="34">
        <f t="shared" si="0"/>
        <v>0.85209999999999997</v>
      </c>
      <c r="F12" s="2">
        <f t="shared" si="1"/>
        <v>-0.16005138814822681</v>
      </c>
      <c r="G12" s="28" t="s">
        <v>32</v>
      </c>
      <c r="H12" s="28" t="s">
        <v>32</v>
      </c>
      <c r="I12" s="37">
        <v>0.1</v>
      </c>
      <c r="J12" s="37">
        <v>0.25</v>
      </c>
      <c r="K12" s="37">
        <v>0.25</v>
      </c>
      <c r="L12" s="34">
        <f t="shared" si="2"/>
        <v>6.2500000000000003E-3</v>
      </c>
      <c r="M12" s="3">
        <f t="shared" si="3"/>
        <v>-1.0003211759264175E-3</v>
      </c>
    </row>
    <row r="13" spans="1:13" x14ac:dyDescent="0.15">
      <c r="A13" s="41">
        <v>0.85209999999999997</v>
      </c>
      <c r="B13" s="37">
        <v>1</v>
      </c>
      <c r="C13" s="37">
        <v>0.25</v>
      </c>
      <c r="D13" s="37">
        <v>0.55000000000000004</v>
      </c>
      <c r="E13" s="34">
        <f t="shared" si="0"/>
        <v>0.85209999999999997</v>
      </c>
      <c r="F13" s="2">
        <f t="shared" si="1"/>
        <v>-0.16005138814822681</v>
      </c>
      <c r="G13" s="28" t="s">
        <v>32</v>
      </c>
      <c r="H13" s="28" t="s">
        <v>32</v>
      </c>
      <c r="I13" s="37">
        <v>0.1</v>
      </c>
      <c r="J13" s="37">
        <v>0.25</v>
      </c>
      <c r="K13" s="37">
        <v>0.5</v>
      </c>
      <c r="L13" s="34">
        <f t="shared" si="2"/>
        <v>1.2500000000000001E-2</v>
      </c>
      <c r="M13" s="3">
        <f t="shared" si="3"/>
        <v>-2.000642351852835E-3</v>
      </c>
    </row>
    <row r="14" spans="1:13" x14ac:dyDescent="0.15">
      <c r="A14" s="41">
        <v>0.85209999999999997</v>
      </c>
      <c r="B14" s="37">
        <v>1</v>
      </c>
      <c r="C14" s="37">
        <v>0.25</v>
      </c>
      <c r="D14" s="37">
        <v>0.65</v>
      </c>
      <c r="E14" s="34">
        <f t="shared" si="0"/>
        <v>0.85209999999999997</v>
      </c>
      <c r="F14" s="2">
        <f t="shared" si="1"/>
        <v>-0.16005138814822681</v>
      </c>
      <c r="G14" s="28" t="s">
        <v>32</v>
      </c>
      <c r="H14" s="28" t="s">
        <v>32</v>
      </c>
      <c r="I14" s="37">
        <v>0.1</v>
      </c>
      <c r="J14" s="37">
        <v>0.25</v>
      </c>
      <c r="K14" s="37">
        <v>0.25</v>
      </c>
      <c r="L14" s="34">
        <f t="shared" si="2"/>
        <v>6.2500000000000003E-3</v>
      </c>
      <c r="M14" s="3">
        <f t="shared" si="3"/>
        <v>-1.0003211759264175E-3</v>
      </c>
    </row>
    <row r="15" spans="1:13" x14ac:dyDescent="0.15">
      <c r="A15" s="41">
        <v>0.85209999999999997</v>
      </c>
      <c r="B15" s="37">
        <v>1</v>
      </c>
      <c r="C15" s="37">
        <v>0.3</v>
      </c>
      <c r="D15" s="37">
        <v>0.45</v>
      </c>
      <c r="E15" s="34">
        <f t="shared" si="0"/>
        <v>0.85209999999999997</v>
      </c>
      <c r="F15" s="2">
        <f t="shared" si="1"/>
        <v>-0.16005138814822681</v>
      </c>
      <c r="G15" s="28" t="s">
        <v>32</v>
      </c>
      <c r="H15" s="28" t="s">
        <v>32</v>
      </c>
      <c r="I15" s="37">
        <v>0.1</v>
      </c>
      <c r="J15" s="37">
        <v>0.5</v>
      </c>
      <c r="K15" s="37">
        <v>0.25</v>
      </c>
      <c r="L15" s="34">
        <f t="shared" si="2"/>
        <v>1.2500000000000001E-2</v>
      </c>
      <c r="M15" s="3">
        <f t="shared" si="3"/>
        <v>-2.000642351852835E-3</v>
      </c>
    </row>
    <row r="16" spans="1:13" x14ac:dyDescent="0.15">
      <c r="A16" s="41">
        <v>0.85209999999999997</v>
      </c>
      <c r="B16" s="37">
        <v>1</v>
      </c>
      <c r="C16" s="37">
        <v>0.3</v>
      </c>
      <c r="D16" s="37">
        <v>0.55000000000000004</v>
      </c>
      <c r="E16" s="34">
        <f t="shared" si="0"/>
        <v>0.85209999999999997</v>
      </c>
      <c r="F16" s="2">
        <f t="shared" si="1"/>
        <v>-0.16005138814822681</v>
      </c>
      <c r="G16" s="28" t="s">
        <v>32</v>
      </c>
      <c r="H16" s="28" t="s">
        <v>32</v>
      </c>
      <c r="I16" s="37">
        <v>0.1</v>
      </c>
      <c r="J16" s="37">
        <v>0.5</v>
      </c>
      <c r="K16" s="37">
        <v>0.5</v>
      </c>
      <c r="L16" s="34">
        <f t="shared" si="2"/>
        <v>2.5000000000000001E-2</v>
      </c>
      <c r="M16" s="3">
        <f t="shared" si="3"/>
        <v>-4.00128470370567E-3</v>
      </c>
    </row>
    <row r="17" spans="1:13" x14ac:dyDescent="0.15">
      <c r="A17" s="41">
        <v>0.85209999999999997</v>
      </c>
      <c r="B17" s="37">
        <v>1</v>
      </c>
      <c r="C17" s="37">
        <v>0.3</v>
      </c>
      <c r="D17" s="37">
        <v>0.65</v>
      </c>
      <c r="E17" s="34">
        <f t="shared" si="0"/>
        <v>0.85209999999999997</v>
      </c>
      <c r="F17" s="2">
        <f t="shared" si="1"/>
        <v>-0.16005138814822681</v>
      </c>
      <c r="G17" s="28" t="s">
        <v>32</v>
      </c>
      <c r="H17" s="28" t="s">
        <v>32</v>
      </c>
      <c r="I17" s="37">
        <v>0.1</v>
      </c>
      <c r="J17" s="37">
        <v>0.5</v>
      </c>
      <c r="K17" s="37">
        <v>0.25</v>
      </c>
      <c r="L17" s="34">
        <f t="shared" si="2"/>
        <v>1.2500000000000001E-2</v>
      </c>
      <c r="M17" s="3">
        <f t="shared" si="3"/>
        <v>-2.000642351852835E-3</v>
      </c>
    </row>
    <row r="18" spans="1:13" x14ac:dyDescent="0.15">
      <c r="A18" s="41">
        <v>0.85209999999999997</v>
      </c>
      <c r="B18" s="37">
        <v>1</v>
      </c>
      <c r="C18" s="37">
        <v>0.35</v>
      </c>
      <c r="D18" s="37">
        <v>0.45</v>
      </c>
      <c r="E18" s="34">
        <f t="shared" si="0"/>
        <v>0.85209999999999997</v>
      </c>
      <c r="F18" s="2">
        <f t="shared" si="1"/>
        <v>-0.16005138814822681</v>
      </c>
      <c r="G18" s="28" t="s">
        <v>32</v>
      </c>
      <c r="H18" s="28" t="s">
        <v>32</v>
      </c>
      <c r="I18" s="37">
        <v>0.1</v>
      </c>
      <c r="J18" s="37">
        <v>0.25</v>
      </c>
      <c r="K18" s="37">
        <v>0.25</v>
      </c>
      <c r="L18" s="34">
        <f t="shared" si="2"/>
        <v>6.2500000000000003E-3</v>
      </c>
      <c r="M18" s="3">
        <f t="shared" si="3"/>
        <v>-1.0003211759264175E-3</v>
      </c>
    </row>
    <row r="19" spans="1:13" x14ac:dyDescent="0.15">
      <c r="A19" s="41">
        <v>0.85209999999999997</v>
      </c>
      <c r="B19" s="37">
        <v>1</v>
      </c>
      <c r="C19" s="37">
        <v>0.35</v>
      </c>
      <c r="D19" s="37">
        <v>0.55000000000000004</v>
      </c>
      <c r="E19" s="34">
        <f t="shared" si="0"/>
        <v>0.85209999999999997</v>
      </c>
      <c r="F19" s="2">
        <f t="shared" si="1"/>
        <v>-0.16005138814822681</v>
      </c>
      <c r="G19" s="28" t="s">
        <v>32</v>
      </c>
      <c r="H19" s="28" t="s">
        <v>32</v>
      </c>
      <c r="I19" s="37">
        <v>0.1</v>
      </c>
      <c r="J19" s="37">
        <v>0.25</v>
      </c>
      <c r="K19" s="37">
        <v>0.5</v>
      </c>
      <c r="L19" s="34">
        <f t="shared" si="2"/>
        <v>1.2500000000000001E-2</v>
      </c>
      <c r="M19" s="3">
        <f t="shared" si="3"/>
        <v>-2.000642351852835E-3</v>
      </c>
    </row>
    <row r="20" spans="1:13" x14ac:dyDescent="0.15">
      <c r="A20" s="41">
        <v>0.85209999999999997</v>
      </c>
      <c r="B20" s="37">
        <v>1</v>
      </c>
      <c r="C20" s="37">
        <v>0.35</v>
      </c>
      <c r="D20" s="37">
        <v>0.65</v>
      </c>
      <c r="E20" s="34">
        <f t="shared" si="0"/>
        <v>0.85209999999999997</v>
      </c>
      <c r="F20" s="2">
        <f t="shared" si="1"/>
        <v>-0.16005138814822681</v>
      </c>
      <c r="G20" s="28" t="s">
        <v>32</v>
      </c>
      <c r="H20" s="28" t="s">
        <v>32</v>
      </c>
      <c r="I20" s="37">
        <v>0.1</v>
      </c>
      <c r="J20" s="37">
        <v>0.25</v>
      </c>
      <c r="K20" s="37">
        <v>0.25</v>
      </c>
      <c r="L20" s="34">
        <f t="shared" si="2"/>
        <v>6.2500000000000003E-3</v>
      </c>
      <c r="M20" s="3">
        <f t="shared" si="3"/>
        <v>-1.0003211759264175E-3</v>
      </c>
    </row>
    <row r="21" spans="1:13" x14ac:dyDescent="0.15">
      <c r="A21" s="41">
        <v>0.85209999999999997</v>
      </c>
      <c r="B21" s="37">
        <v>1.2</v>
      </c>
      <c r="C21" s="37">
        <v>0.25</v>
      </c>
      <c r="D21" s="37">
        <v>0.45</v>
      </c>
      <c r="E21" s="34">
        <f t="shared" si="0"/>
        <v>0.88456095238095234</v>
      </c>
      <c r="F21" s="2">
        <f t="shared" si="1"/>
        <v>-0.12266385607660649</v>
      </c>
      <c r="G21" s="28" t="s">
        <v>65</v>
      </c>
      <c r="H21" s="28" t="s">
        <v>66</v>
      </c>
      <c r="I21" s="37">
        <v>0.2</v>
      </c>
      <c r="J21" s="37">
        <v>0.25</v>
      </c>
      <c r="K21" s="37">
        <v>0.25</v>
      </c>
      <c r="L21" s="34">
        <f t="shared" si="2"/>
        <v>1.2500000000000001E-2</v>
      </c>
      <c r="M21" s="3">
        <f t="shared" si="3"/>
        <v>-1.5332982009575811E-3</v>
      </c>
    </row>
    <row r="22" spans="1:13" x14ac:dyDescent="0.15">
      <c r="A22" s="41">
        <v>0.85209999999999997</v>
      </c>
      <c r="B22" s="37">
        <v>1.2</v>
      </c>
      <c r="C22" s="37">
        <v>0.25</v>
      </c>
      <c r="D22" s="37">
        <v>0.55000000000000004</v>
      </c>
      <c r="E22" s="34">
        <f t="shared" si="0"/>
        <v>0.90079142857142847</v>
      </c>
      <c r="F22" s="2">
        <f t="shared" si="1"/>
        <v>-0.10448153699341613</v>
      </c>
      <c r="G22" s="28" t="s">
        <v>65</v>
      </c>
      <c r="H22" s="28" t="s">
        <v>66</v>
      </c>
      <c r="I22" s="37">
        <v>0.2</v>
      </c>
      <c r="J22" s="37">
        <v>0.25</v>
      </c>
      <c r="K22" s="37">
        <v>0.5</v>
      </c>
      <c r="L22" s="34">
        <f t="shared" si="2"/>
        <v>2.5000000000000001E-2</v>
      </c>
      <c r="M22" s="3">
        <f t="shared" si="3"/>
        <v>-2.6120384248354035E-3</v>
      </c>
    </row>
    <row r="23" spans="1:13" x14ac:dyDescent="0.15">
      <c r="A23" s="41">
        <v>0.85209999999999997</v>
      </c>
      <c r="B23" s="37">
        <v>1.2</v>
      </c>
      <c r="C23" s="37">
        <v>0.25</v>
      </c>
      <c r="D23" s="37">
        <v>0.65</v>
      </c>
      <c r="E23" s="34">
        <f t="shared" si="0"/>
        <v>0.91702190476190459</v>
      </c>
      <c r="F23" s="2">
        <f t="shared" si="1"/>
        <v>-8.6623919593409759E-2</v>
      </c>
      <c r="G23" s="28" t="s">
        <v>65</v>
      </c>
      <c r="H23" s="28" t="s">
        <v>66</v>
      </c>
      <c r="I23" s="37">
        <v>0.2</v>
      </c>
      <c r="J23" s="37">
        <v>0.25</v>
      </c>
      <c r="K23" s="37">
        <v>0.25</v>
      </c>
      <c r="L23" s="34">
        <f t="shared" si="2"/>
        <v>1.2500000000000001E-2</v>
      </c>
      <c r="M23" s="3">
        <f t="shared" si="3"/>
        <v>-1.0827989949176221E-3</v>
      </c>
    </row>
    <row r="24" spans="1:13" x14ac:dyDescent="0.15">
      <c r="A24" s="41">
        <v>0.85209999999999997</v>
      </c>
      <c r="B24" s="37">
        <v>1.2</v>
      </c>
      <c r="C24" s="37">
        <v>0.3</v>
      </c>
      <c r="D24" s="37">
        <v>0.45</v>
      </c>
      <c r="E24" s="34">
        <f t="shared" si="0"/>
        <v>0.87621603773584911</v>
      </c>
      <c r="F24" s="2">
        <f t="shared" si="1"/>
        <v>-0.13214260003115016</v>
      </c>
      <c r="G24" s="28" t="s">
        <v>65</v>
      </c>
      <c r="H24" s="28" t="s">
        <v>66</v>
      </c>
      <c r="I24" s="37">
        <v>0.2</v>
      </c>
      <c r="J24" s="37">
        <v>0.5</v>
      </c>
      <c r="K24" s="37">
        <v>0.25</v>
      </c>
      <c r="L24" s="34">
        <f t="shared" si="2"/>
        <v>2.5000000000000001E-2</v>
      </c>
      <c r="M24" s="3">
        <f t="shared" si="3"/>
        <v>-3.3035650007787543E-3</v>
      </c>
    </row>
    <row r="25" spans="1:13" x14ac:dyDescent="0.15">
      <c r="A25" s="41">
        <v>0.85209999999999997</v>
      </c>
      <c r="B25" s="37">
        <v>1.2</v>
      </c>
      <c r="C25" s="37">
        <v>0.3</v>
      </c>
      <c r="D25" s="37">
        <v>0.55000000000000004</v>
      </c>
      <c r="E25" s="34">
        <f t="shared" si="0"/>
        <v>0.8922933962264149</v>
      </c>
      <c r="F25" s="2">
        <f t="shared" si="1"/>
        <v>-0.11396028094796</v>
      </c>
      <c r="G25" s="28" t="s">
        <v>65</v>
      </c>
      <c r="H25" s="28" t="s">
        <v>66</v>
      </c>
      <c r="I25" s="37">
        <v>0.2</v>
      </c>
      <c r="J25" s="37">
        <v>0.5</v>
      </c>
      <c r="K25" s="37">
        <v>0.5</v>
      </c>
      <c r="L25" s="34">
        <f t="shared" si="2"/>
        <v>0.05</v>
      </c>
      <c r="M25" s="3">
        <f t="shared" si="3"/>
        <v>-5.698014047398E-3</v>
      </c>
    </row>
    <row r="26" spans="1:13" x14ac:dyDescent="0.15">
      <c r="A26" s="41">
        <v>0.85209999999999997</v>
      </c>
      <c r="B26" s="37">
        <v>1.2</v>
      </c>
      <c r="C26" s="37">
        <v>0.3</v>
      </c>
      <c r="D26" s="37">
        <v>0.65</v>
      </c>
      <c r="E26" s="34">
        <f t="shared" si="0"/>
        <v>0.90837075471698092</v>
      </c>
      <c r="F26" s="2">
        <f t="shared" si="1"/>
        <v>-9.6102663547953576E-2</v>
      </c>
      <c r="G26" s="28" t="s">
        <v>65</v>
      </c>
      <c r="H26" s="28" t="s">
        <v>66</v>
      </c>
      <c r="I26" s="37">
        <v>0.2</v>
      </c>
      <c r="J26" s="37">
        <v>0.5</v>
      </c>
      <c r="K26" s="37">
        <v>0.25</v>
      </c>
      <c r="L26" s="34">
        <f t="shared" si="2"/>
        <v>2.5000000000000001E-2</v>
      </c>
      <c r="M26" s="3">
        <f t="shared" si="3"/>
        <v>-2.4025665886988398E-3</v>
      </c>
    </row>
    <row r="27" spans="1:13" x14ac:dyDescent="0.15">
      <c r="A27" s="41">
        <v>0.85209999999999997</v>
      </c>
      <c r="B27" s="37">
        <v>1.2</v>
      </c>
      <c r="C27" s="37">
        <v>0.35</v>
      </c>
      <c r="D27" s="37">
        <v>0.45</v>
      </c>
      <c r="E27" s="34">
        <f t="shared" si="0"/>
        <v>0.86802710280373829</v>
      </c>
      <c r="F27" s="2">
        <f t="shared" si="1"/>
        <v>-0.14153234038098927</v>
      </c>
      <c r="G27" s="28" t="s">
        <v>65</v>
      </c>
      <c r="H27" s="28" t="s">
        <v>66</v>
      </c>
      <c r="I27" s="37">
        <v>0.2</v>
      </c>
      <c r="J27" s="37">
        <v>0.25</v>
      </c>
      <c r="K27" s="37">
        <v>0.25</v>
      </c>
      <c r="L27" s="34">
        <f t="shared" si="2"/>
        <v>1.2500000000000001E-2</v>
      </c>
      <c r="M27" s="3">
        <f t="shared" si="3"/>
        <v>-1.7691542547623659E-3</v>
      </c>
    </row>
    <row r="28" spans="1:13" x14ac:dyDescent="0.15">
      <c r="A28" s="41">
        <v>0.85209999999999997</v>
      </c>
      <c r="B28" s="37">
        <v>1.2</v>
      </c>
      <c r="C28" s="37">
        <v>0.35</v>
      </c>
      <c r="D28" s="37">
        <v>0.55000000000000004</v>
      </c>
      <c r="E28" s="34">
        <f t="shared" si="0"/>
        <v>0.88395420560747651</v>
      </c>
      <c r="F28" s="2">
        <f t="shared" si="1"/>
        <v>-0.12335002129779896</v>
      </c>
      <c r="G28" s="28" t="s">
        <v>65</v>
      </c>
      <c r="H28" s="28" t="s">
        <v>66</v>
      </c>
      <c r="I28" s="37">
        <v>0.2</v>
      </c>
      <c r="J28" s="37">
        <v>0.25</v>
      </c>
      <c r="K28" s="37">
        <v>0.5</v>
      </c>
      <c r="L28" s="34">
        <f t="shared" si="2"/>
        <v>2.5000000000000001E-2</v>
      </c>
      <c r="M28" s="3">
        <f t="shared" si="3"/>
        <v>-3.0837505324449741E-3</v>
      </c>
    </row>
    <row r="29" spans="1:13" x14ac:dyDescent="0.15">
      <c r="A29" s="41">
        <v>0.85209999999999997</v>
      </c>
      <c r="B29" s="37">
        <v>1.2</v>
      </c>
      <c r="C29" s="37">
        <v>0.35</v>
      </c>
      <c r="D29" s="37">
        <v>0.65</v>
      </c>
      <c r="E29" s="34">
        <f t="shared" si="0"/>
        <v>0.89988130841121483</v>
      </c>
      <c r="F29" s="2">
        <f t="shared" si="1"/>
        <v>-0.10549240389779251</v>
      </c>
      <c r="G29" s="28" t="s">
        <v>65</v>
      </c>
      <c r="H29" s="28" t="s">
        <v>66</v>
      </c>
      <c r="I29" s="37">
        <v>0.2</v>
      </c>
      <c r="J29" s="37">
        <v>0.25</v>
      </c>
      <c r="K29" s="37">
        <v>0.25</v>
      </c>
      <c r="L29" s="34">
        <f t="shared" si="2"/>
        <v>1.2500000000000001E-2</v>
      </c>
      <c r="M29" s="3">
        <f t="shared" si="3"/>
        <v>-1.3186550487224065E-3</v>
      </c>
    </row>
    <row r="30" spans="1:13" x14ac:dyDescent="0.15">
      <c r="A30" s="41">
        <v>0.85209999999999997</v>
      </c>
      <c r="B30" s="37">
        <v>1.4</v>
      </c>
      <c r="C30" s="37">
        <v>0.25</v>
      </c>
      <c r="D30" s="37">
        <v>0.45</v>
      </c>
      <c r="E30" s="34">
        <f t="shared" si="0"/>
        <v>0.91407090909090893</v>
      </c>
      <c r="F30" s="2">
        <f t="shared" si="1"/>
        <v>-8.9847129474978416E-2</v>
      </c>
      <c r="G30" s="28" t="s">
        <v>65</v>
      </c>
      <c r="H30" s="28" t="s">
        <v>66</v>
      </c>
      <c r="I30" s="37">
        <v>0.3</v>
      </c>
      <c r="J30" s="37">
        <v>0.25</v>
      </c>
      <c r="K30" s="37">
        <v>0.25</v>
      </c>
      <c r="L30" s="34">
        <f t="shared" si="2"/>
        <v>1.8749999999999999E-2</v>
      </c>
      <c r="M30" s="3">
        <f t="shared" si="3"/>
        <v>-1.6846336776558453E-3</v>
      </c>
    </row>
    <row r="31" spans="1:13" x14ac:dyDescent="0.15">
      <c r="A31" s="41">
        <v>0.85209999999999997</v>
      </c>
      <c r="B31" s="37">
        <v>1.4</v>
      </c>
      <c r="C31" s="37">
        <v>0.25</v>
      </c>
      <c r="D31" s="37">
        <v>0.55000000000000004</v>
      </c>
      <c r="E31" s="34">
        <f t="shared" si="0"/>
        <v>0.94505636363636347</v>
      </c>
      <c r="F31" s="2">
        <f t="shared" si="1"/>
        <v>-5.6510709207386614E-2</v>
      </c>
      <c r="G31" s="28" t="s">
        <v>65</v>
      </c>
      <c r="H31" s="28" t="s">
        <v>66</v>
      </c>
      <c r="I31" s="37">
        <v>0.3</v>
      </c>
      <c r="J31" s="37">
        <v>0.25</v>
      </c>
      <c r="K31" s="37">
        <v>0.5</v>
      </c>
      <c r="L31" s="34">
        <f t="shared" si="2"/>
        <v>3.7499999999999999E-2</v>
      </c>
      <c r="M31" s="3">
        <f t="shared" si="3"/>
        <v>-2.1191515952769979E-3</v>
      </c>
    </row>
    <row r="32" spans="1:13" x14ac:dyDescent="0.15">
      <c r="A32" s="41">
        <v>0.85209999999999997</v>
      </c>
      <c r="B32" s="37">
        <v>1.4</v>
      </c>
      <c r="C32" s="37">
        <v>0.25</v>
      </c>
      <c r="D32" s="37">
        <v>0.65</v>
      </c>
      <c r="E32" s="34">
        <f t="shared" si="0"/>
        <v>0.97604181818181801</v>
      </c>
      <c r="F32" s="2">
        <f t="shared" si="1"/>
        <v>-2.4249846989165179E-2</v>
      </c>
      <c r="G32" s="28" t="s">
        <v>65</v>
      </c>
      <c r="H32" s="28" t="s">
        <v>66</v>
      </c>
      <c r="I32" s="37">
        <v>0.3</v>
      </c>
      <c r="J32" s="37">
        <v>0.25</v>
      </c>
      <c r="K32" s="37">
        <v>0.25</v>
      </c>
      <c r="L32" s="34">
        <f t="shared" si="2"/>
        <v>1.8749999999999999E-2</v>
      </c>
      <c r="M32" s="3">
        <f t="shared" si="3"/>
        <v>-4.5468463104684706E-4</v>
      </c>
    </row>
    <row r="33" spans="1:13" x14ac:dyDescent="0.15">
      <c r="A33" s="41">
        <v>0.85209999999999997</v>
      </c>
      <c r="B33" s="37">
        <v>1.4</v>
      </c>
      <c r="C33" s="37">
        <v>0.3</v>
      </c>
      <c r="D33" s="37">
        <v>0.45</v>
      </c>
      <c r="E33" s="34">
        <f t="shared" si="0"/>
        <v>0.89774821428571439</v>
      </c>
      <c r="F33" s="2">
        <f t="shared" si="1"/>
        <v>-0.10786563497765644</v>
      </c>
      <c r="G33" s="28" t="s">
        <v>65</v>
      </c>
      <c r="H33" s="28" t="s">
        <v>66</v>
      </c>
      <c r="I33" s="37">
        <v>0.3</v>
      </c>
      <c r="J33" s="37">
        <v>0.5</v>
      </c>
      <c r="K33" s="37">
        <v>0.25</v>
      </c>
      <c r="L33" s="34">
        <f t="shared" si="2"/>
        <v>3.7499999999999999E-2</v>
      </c>
      <c r="M33" s="3">
        <f t="shared" si="3"/>
        <v>-4.0449613116621168E-3</v>
      </c>
    </row>
    <row r="34" spans="1:13" x14ac:dyDescent="0.15">
      <c r="A34" s="41">
        <v>0.85209999999999997</v>
      </c>
      <c r="B34" s="37">
        <v>1.4</v>
      </c>
      <c r="C34" s="37">
        <v>0.3</v>
      </c>
      <c r="D34" s="37">
        <v>0.55000000000000004</v>
      </c>
      <c r="E34" s="34">
        <f t="shared" si="0"/>
        <v>0.92818035714285718</v>
      </c>
      <c r="F34" s="2">
        <f t="shared" si="1"/>
        <v>-7.4529214710064712E-2</v>
      </c>
      <c r="G34" s="28" t="s">
        <v>65</v>
      </c>
      <c r="H34" s="28" t="s">
        <v>66</v>
      </c>
      <c r="I34" s="37">
        <v>0.3</v>
      </c>
      <c r="J34" s="37">
        <v>0.5</v>
      </c>
      <c r="K34" s="37">
        <v>0.5</v>
      </c>
      <c r="L34" s="34">
        <f t="shared" si="2"/>
        <v>7.4999999999999997E-2</v>
      </c>
      <c r="M34" s="3">
        <f t="shared" si="3"/>
        <v>-5.5896911032548534E-3</v>
      </c>
    </row>
    <row r="35" spans="1:13" x14ac:dyDescent="0.15">
      <c r="A35" s="41">
        <v>0.85209999999999997</v>
      </c>
      <c r="B35" s="37">
        <v>1.4</v>
      </c>
      <c r="C35" s="37">
        <v>0.3</v>
      </c>
      <c r="D35" s="37">
        <v>0.65</v>
      </c>
      <c r="E35" s="34">
        <f t="shared" si="0"/>
        <v>0.95861249999999998</v>
      </c>
      <c r="F35" s="2">
        <f t="shared" si="1"/>
        <v>-4.2268352491843339E-2</v>
      </c>
      <c r="G35" s="28" t="s">
        <v>65</v>
      </c>
      <c r="H35" s="28" t="s">
        <v>66</v>
      </c>
      <c r="I35" s="37">
        <v>0.3</v>
      </c>
      <c r="J35" s="37">
        <v>0.5</v>
      </c>
      <c r="K35" s="37">
        <v>0.25</v>
      </c>
      <c r="L35" s="34">
        <f t="shared" si="2"/>
        <v>3.7499999999999999E-2</v>
      </c>
      <c r="M35" s="3">
        <f t="shared" si="3"/>
        <v>-1.5850632184441253E-3</v>
      </c>
    </row>
    <row r="36" spans="1:13" x14ac:dyDescent="0.15">
      <c r="A36" s="41">
        <v>0.85209999999999997</v>
      </c>
      <c r="B36" s="37">
        <v>1.4</v>
      </c>
      <c r="C36" s="37">
        <v>0.35</v>
      </c>
      <c r="D36" s="37">
        <v>0.45</v>
      </c>
      <c r="E36" s="34">
        <f t="shared" si="0"/>
        <v>0.88199824561403506</v>
      </c>
      <c r="F36" s="2">
        <f t="shared" si="1"/>
        <v>-0.12556521207705751</v>
      </c>
      <c r="G36" s="28" t="s">
        <v>65</v>
      </c>
      <c r="H36" s="28" t="s">
        <v>66</v>
      </c>
      <c r="I36" s="37">
        <v>0.3</v>
      </c>
      <c r="J36" s="37">
        <v>0.25</v>
      </c>
      <c r="K36" s="37">
        <v>0.25</v>
      </c>
      <c r="L36" s="34">
        <f t="shared" si="2"/>
        <v>1.8749999999999999E-2</v>
      </c>
      <c r="M36" s="3">
        <f t="shared" si="3"/>
        <v>-2.354347726444828E-3</v>
      </c>
    </row>
    <row r="37" spans="1:13" x14ac:dyDescent="0.15">
      <c r="A37" s="41">
        <v>0.85209999999999997</v>
      </c>
      <c r="B37" s="37">
        <v>1.4</v>
      </c>
      <c r="C37" s="37">
        <v>0.35</v>
      </c>
      <c r="D37" s="37">
        <v>0.55000000000000004</v>
      </c>
      <c r="E37" s="34">
        <f t="shared" si="0"/>
        <v>0.91189649122807026</v>
      </c>
      <c r="F37" s="2">
        <f t="shared" si="1"/>
        <v>-9.2228791809465582E-2</v>
      </c>
      <c r="G37" s="28" t="s">
        <v>65</v>
      </c>
      <c r="H37" s="28" t="s">
        <v>66</v>
      </c>
      <c r="I37" s="37">
        <v>0.3</v>
      </c>
      <c r="J37" s="37">
        <v>0.25</v>
      </c>
      <c r="K37" s="37">
        <v>0.5</v>
      </c>
      <c r="L37" s="34">
        <f t="shared" si="2"/>
        <v>3.7499999999999999E-2</v>
      </c>
      <c r="M37" s="3">
        <f t="shared" si="3"/>
        <v>-3.4585796928549594E-3</v>
      </c>
    </row>
    <row r="38" spans="1:13" x14ac:dyDescent="0.15">
      <c r="A38" s="41">
        <v>0.85209999999999997</v>
      </c>
      <c r="B38" s="37">
        <v>1.4</v>
      </c>
      <c r="C38" s="37">
        <v>0.35</v>
      </c>
      <c r="D38" s="37">
        <v>0.65</v>
      </c>
      <c r="E38" s="34">
        <f t="shared" si="0"/>
        <v>0.94179473684210535</v>
      </c>
      <c r="F38" s="2">
        <f t="shared" si="1"/>
        <v>-5.996792959124414E-2</v>
      </c>
      <c r="G38" s="28" t="s">
        <v>65</v>
      </c>
      <c r="H38" s="28" t="s">
        <v>66</v>
      </c>
      <c r="I38" s="37">
        <v>0.3</v>
      </c>
      <c r="J38" s="37">
        <v>0.25</v>
      </c>
      <c r="K38" s="37">
        <v>0.25</v>
      </c>
      <c r="L38" s="34">
        <f t="shared" si="2"/>
        <v>1.8749999999999999E-2</v>
      </c>
      <c r="M38" s="3">
        <f t="shared" si="3"/>
        <v>-1.1243986798358276E-3</v>
      </c>
    </row>
    <row r="39" spans="1:13" x14ac:dyDescent="0.15">
      <c r="A39" s="41">
        <v>0.85209999999999997</v>
      </c>
      <c r="B39" s="37">
        <v>1.7</v>
      </c>
      <c r="C39" s="37">
        <v>0.25</v>
      </c>
      <c r="D39" s="37">
        <v>0.45</v>
      </c>
      <c r="E39" s="34">
        <f t="shared" si="0"/>
        <v>0.95362680851063819</v>
      </c>
      <c r="F39" s="2">
        <f t="shared" si="1"/>
        <v>-4.7482870114621295E-2</v>
      </c>
      <c r="G39" s="28" t="s">
        <v>65</v>
      </c>
      <c r="H39" s="28" t="s">
        <v>66</v>
      </c>
      <c r="I39" s="37">
        <v>0.3</v>
      </c>
      <c r="J39" s="37">
        <v>0.25</v>
      </c>
      <c r="K39" s="37">
        <v>0.25</v>
      </c>
      <c r="L39" s="34">
        <f t="shared" si="2"/>
        <v>1.8749999999999999E-2</v>
      </c>
      <c r="M39" s="3">
        <f t="shared" si="3"/>
        <v>-8.903038146491492E-4</v>
      </c>
    </row>
    <row r="40" spans="1:13" x14ac:dyDescent="0.15">
      <c r="A40" s="41">
        <v>0.85209999999999997</v>
      </c>
      <c r="B40" s="37">
        <v>1.7</v>
      </c>
      <c r="C40" s="37">
        <v>0.25</v>
      </c>
      <c r="D40" s="37">
        <v>0.55000000000000004</v>
      </c>
      <c r="E40" s="34">
        <f t="shared" si="0"/>
        <v>1.0043902127659574</v>
      </c>
      <c r="F40" s="2">
        <f t="shared" si="1"/>
        <v>4.3806038949527337E-3</v>
      </c>
      <c r="G40" s="28" t="s">
        <v>65</v>
      </c>
      <c r="H40" s="28" t="s">
        <v>66</v>
      </c>
      <c r="I40" s="37">
        <v>0.3</v>
      </c>
      <c r="J40" s="37">
        <v>0.25</v>
      </c>
      <c r="K40" s="37">
        <v>0.5</v>
      </c>
      <c r="L40" s="34">
        <f t="shared" si="2"/>
        <v>3.7499999999999999E-2</v>
      </c>
      <c r="M40" s="3">
        <f t="shared" si="3"/>
        <v>1.6427264606072751E-4</v>
      </c>
    </row>
    <row r="41" spans="1:13" x14ac:dyDescent="0.15">
      <c r="A41" s="41">
        <v>0.85209999999999997</v>
      </c>
      <c r="B41" s="37">
        <v>1.7</v>
      </c>
      <c r="C41" s="37">
        <v>0.25</v>
      </c>
      <c r="D41" s="37">
        <v>0.65</v>
      </c>
      <c r="E41" s="34">
        <f t="shared" si="0"/>
        <v>1.0551536170212765</v>
      </c>
      <c r="F41" s="2">
        <f t="shared" si="1"/>
        <v>5.3686364879106711E-2</v>
      </c>
      <c r="G41" s="28" t="s">
        <v>65</v>
      </c>
      <c r="H41" s="28" t="s">
        <v>66</v>
      </c>
      <c r="I41" s="37">
        <v>0.3</v>
      </c>
      <c r="J41" s="37">
        <v>0.25</v>
      </c>
      <c r="K41" s="37">
        <v>0.25</v>
      </c>
      <c r="L41" s="34">
        <f t="shared" si="2"/>
        <v>1.8749999999999999E-2</v>
      </c>
      <c r="M41" s="3">
        <f t="shared" si="3"/>
        <v>1.0066193414832508E-3</v>
      </c>
    </row>
    <row r="42" spans="1:13" x14ac:dyDescent="0.15">
      <c r="A42" s="41">
        <v>0.85209999999999997</v>
      </c>
      <c r="B42" s="37">
        <v>1.7</v>
      </c>
      <c r="C42" s="37">
        <v>0.3</v>
      </c>
      <c r="D42" s="37">
        <v>0.45</v>
      </c>
      <c r="E42" s="34">
        <f t="shared" si="0"/>
        <v>0.92604256198347101</v>
      </c>
      <c r="F42" s="2">
        <f t="shared" si="1"/>
        <v>-7.6835082127148679E-2</v>
      </c>
      <c r="G42" s="28" t="s">
        <v>65</v>
      </c>
      <c r="H42" s="28" t="s">
        <v>66</v>
      </c>
      <c r="I42" s="37">
        <v>0.3</v>
      </c>
      <c r="J42" s="37">
        <v>0.5</v>
      </c>
      <c r="K42" s="37">
        <v>0.25</v>
      </c>
      <c r="L42" s="34">
        <f t="shared" si="2"/>
        <v>3.7499999999999999E-2</v>
      </c>
      <c r="M42" s="3">
        <f t="shared" si="3"/>
        <v>-2.8813155797680753E-3</v>
      </c>
    </row>
    <row r="43" spans="1:13" x14ac:dyDescent="0.15">
      <c r="A43" s="41">
        <v>0.85209999999999997</v>
      </c>
      <c r="B43" s="37">
        <v>1.7</v>
      </c>
      <c r="C43" s="37">
        <v>0.3</v>
      </c>
      <c r="D43" s="37">
        <v>0.55000000000000004</v>
      </c>
      <c r="E43" s="34">
        <f t="shared" si="0"/>
        <v>0.97533760330578512</v>
      </c>
      <c r="F43" s="2">
        <f t="shared" si="1"/>
        <v>-2.4971608117574675E-2</v>
      </c>
      <c r="G43" s="28" t="s">
        <v>65</v>
      </c>
      <c r="H43" s="28" t="s">
        <v>66</v>
      </c>
      <c r="I43" s="37">
        <v>0.3</v>
      </c>
      <c r="J43" s="37">
        <v>0.5</v>
      </c>
      <c r="K43" s="37">
        <v>0.5</v>
      </c>
      <c r="L43" s="34">
        <f t="shared" si="2"/>
        <v>7.4999999999999997E-2</v>
      </c>
      <c r="M43" s="3">
        <f t="shared" si="3"/>
        <v>-1.8728706088181005E-3</v>
      </c>
    </row>
    <row r="44" spans="1:13" x14ac:dyDescent="0.15">
      <c r="A44" s="41">
        <v>0.85209999999999997</v>
      </c>
      <c r="B44" s="37">
        <v>1.7</v>
      </c>
      <c r="C44" s="37">
        <v>0.3</v>
      </c>
      <c r="D44" s="37">
        <v>0.65</v>
      </c>
      <c r="E44" s="34">
        <f t="shared" si="0"/>
        <v>1.0246326446280991</v>
      </c>
      <c r="F44" s="2">
        <f t="shared" si="1"/>
        <v>2.4334152866579282E-2</v>
      </c>
      <c r="G44" s="28" t="s">
        <v>65</v>
      </c>
      <c r="H44" s="28" t="s">
        <v>66</v>
      </c>
      <c r="I44" s="37">
        <v>0.3</v>
      </c>
      <c r="J44" s="37">
        <v>0.5</v>
      </c>
      <c r="K44" s="37">
        <v>0.25</v>
      </c>
      <c r="L44" s="34">
        <f t="shared" si="2"/>
        <v>3.7499999999999999E-2</v>
      </c>
      <c r="M44" s="3">
        <f t="shared" si="3"/>
        <v>9.1253073249672305E-4</v>
      </c>
    </row>
    <row r="45" spans="1:13" x14ac:dyDescent="0.15">
      <c r="A45" s="41">
        <v>0.85209999999999997</v>
      </c>
      <c r="B45" s="37">
        <v>1.7</v>
      </c>
      <c r="C45" s="37">
        <v>0.35</v>
      </c>
      <c r="D45" s="37">
        <v>0.45</v>
      </c>
      <c r="E45" s="34">
        <f t="shared" si="0"/>
        <v>0.90000923694779111</v>
      </c>
      <c r="F45" s="2">
        <f t="shared" si="1"/>
        <v>-0.10535025243516989</v>
      </c>
      <c r="G45" s="28" t="s">
        <v>65</v>
      </c>
      <c r="H45" s="28" t="s">
        <v>66</v>
      </c>
      <c r="I45" s="37">
        <v>0.3</v>
      </c>
      <c r="J45" s="37">
        <v>0.25</v>
      </c>
      <c r="K45" s="37">
        <v>0.25</v>
      </c>
      <c r="L45" s="34">
        <f t="shared" si="2"/>
        <v>1.8749999999999999E-2</v>
      </c>
      <c r="M45" s="3">
        <f t="shared" si="3"/>
        <v>-1.9753172331594352E-3</v>
      </c>
    </row>
    <row r="46" spans="1:13" x14ac:dyDescent="0.15">
      <c r="A46" s="41">
        <v>0.85209999999999997</v>
      </c>
      <c r="B46" s="37">
        <v>1.7</v>
      </c>
      <c r="C46" s="37">
        <v>0.35</v>
      </c>
      <c r="D46" s="37">
        <v>0.55000000000000004</v>
      </c>
      <c r="E46" s="34">
        <f t="shared" si="0"/>
        <v>0.94791847389558237</v>
      </c>
      <c r="F46" s="2">
        <f t="shared" si="1"/>
        <v>-5.3486778425595842E-2</v>
      </c>
      <c r="G46" s="28" t="s">
        <v>65</v>
      </c>
      <c r="H46" s="28" t="s">
        <v>66</v>
      </c>
      <c r="I46" s="37">
        <v>0.3</v>
      </c>
      <c r="J46" s="37">
        <v>0.25</v>
      </c>
      <c r="K46" s="37">
        <v>0.5</v>
      </c>
      <c r="L46" s="34">
        <f t="shared" si="2"/>
        <v>3.7499999999999999E-2</v>
      </c>
      <c r="M46" s="3">
        <f t="shared" si="3"/>
        <v>-2.0057541909598441E-3</v>
      </c>
    </row>
    <row r="47" spans="1:13" x14ac:dyDescent="0.15">
      <c r="A47" s="42">
        <v>0.85209999999999997</v>
      </c>
      <c r="B47" s="38">
        <v>1.7</v>
      </c>
      <c r="C47" s="38">
        <v>0.35</v>
      </c>
      <c r="D47" s="38">
        <v>0.65</v>
      </c>
      <c r="E47" s="35">
        <f t="shared" si="0"/>
        <v>0.99582771084337363</v>
      </c>
      <c r="F47" s="12">
        <f t="shared" si="1"/>
        <v>-4.1810174414417403E-3</v>
      </c>
      <c r="G47" s="29" t="s">
        <v>65</v>
      </c>
      <c r="H47" s="29" t="s">
        <v>66</v>
      </c>
      <c r="I47" s="38">
        <v>0.3</v>
      </c>
      <c r="J47" s="38">
        <v>0.25</v>
      </c>
      <c r="K47" s="38">
        <v>0.25</v>
      </c>
      <c r="L47" s="35">
        <f t="shared" si="2"/>
        <v>1.8749999999999999E-2</v>
      </c>
      <c r="M47" s="13">
        <f t="shared" si="3"/>
        <v>-7.8394077027032629E-5</v>
      </c>
    </row>
    <row r="48" spans="1:13" x14ac:dyDescent="0.15">
      <c r="E48" s="4"/>
      <c r="F48" s="55"/>
      <c r="L48" s="40"/>
    </row>
  </sheetData>
  <printOptions horizontalCentered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selection activeCell="I16" sqref="I16"/>
    </sheetView>
  </sheetViews>
  <sheetFormatPr baseColWidth="10" defaultColWidth="8.83203125" defaultRowHeight="13" x14ac:dyDescent="0.15"/>
  <cols>
    <col min="1" max="1" width="16" customWidth="1"/>
    <col min="2" max="2" width="10.1640625" customWidth="1"/>
    <col min="3" max="3" width="8.6640625" bestFit="1" customWidth="1"/>
    <col min="4" max="4" width="10" customWidth="1"/>
    <col min="5" max="5" width="4.5" bestFit="1" customWidth="1"/>
    <col min="6" max="6" width="5.5" customWidth="1"/>
  </cols>
  <sheetData>
    <row r="1" spans="1:6" ht="43.5" customHeight="1" x14ac:dyDescent="0.15">
      <c r="A1" s="59" t="s">
        <v>48</v>
      </c>
      <c r="B1" s="59"/>
      <c r="C1" s="59"/>
      <c r="D1" s="59"/>
      <c r="E1" s="59"/>
      <c r="F1" s="59"/>
    </row>
    <row r="2" spans="1:6" ht="37.5" customHeight="1" x14ac:dyDescent="0.15">
      <c r="A2" s="7"/>
      <c r="B2" s="9" t="s">
        <v>0</v>
      </c>
      <c r="C2" s="9" t="s">
        <v>33</v>
      </c>
      <c r="D2" s="9" t="s">
        <v>34</v>
      </c>
      <c r="E2" s="58" t="s">
        <v>18</v>
      </c>
      <c r="F2" s="58"/>
    </row>
    <row r="3" spans="1:6" x14ac:dyDescent="0.15">
      <c r="A3" s="32" t="s">
        <v>35</v>
      </c>
      <c r="B3" s="30"/>
      <c r="C3" s="30"/>
      <c r="D3" s="30"/>
      <c r="E3" s="30"/>
      <c r="F3" s="30"/>
    </row>
    <row r="4" spans="1:6" x14ac:dyDescent="0.15">
      <c r="A4" s="31" t="s">
        <v>37</v>
      </c>
      <c r="B4" s="2">
        <f>EXP(-0.11)</f>
        <v>0.89583413529652822</v>
      </c>
      <c r="C4" s="2">
        <v>0.82</v>
      </c>
      <c r="D4" s="2">
        <v>1.06</v>
      </c>
      <c r="E4" s="5"/>
      <c r="F4" s="5"/>
    </row>
    <row r="5" spans="1:6" x14ac:dyDescent="0.15">
      <c r="A5" s="31" t="s">
        <v>36</v>
      </c>
      <c r="B5" s="2">
        <f>EXP(-0.08746)</f>
        <v>0.91625552113872855</v>
      </c>
      <c r="C5" s="2">
        <v>0.82</v>
      </c>
      <c r="D5" s="2">
        <v>1.06</v>
      </c>
      <c r="E5" s="5"/>
      <c r="F5" s="5"/>
    </row>
    <row r="6" spans="1:6" x14ac:dyDescent="0.15">
      <c r="A6" t="s">
        <v>40</v>
      </c>
      <c r="B6" s="2"/>
      <c r="C6" s="2"/>
      <c r="D6" s="2"/>
      <c r="E6" s="5"/>
      <c r="F6" s="5"/>
    </row>
    <row r="7" spans="1:6" x14ac:dyDescent="0.15">
      <c r="A7" s="31" t="s">
        <v>38</v>
      </c>
      <c r="B7" s="2">
        <v>0.93676000000000004</v>
      </c>
      <c r="C7" s="2">
        <v>0.82311000000000001</v>
      </c>
      <c r="D7" s="2">
        <v>1.0683800000000001</v>
      </c>
      <c r="E7" s="2">
        <v>0.84884999999999999</v>
      </c>
      <c r="F7" s="2">
        <v>1.0177700000000001</v>
      </c>
    </row>
    <row r="8" spans="1:6" x14ac:dyDescent="0.15">
      <c r="A8" s="33" t="s">
        <v>39</v>
      </c>
      <c r="B8" s="12">
        <v>0.86070999999999998</v>
      </c>
      <c r="C8" s="12">
        <v>0.80549999999999999</v>
      </c>
      <c r="D8" s="12">
        <v>0.91156999999999999</v>
      </c>
      <c r="E8" s="12">
        <v>0.82216</v>
      </c>
      <c r="F8" s="12">
        <v>0.89546999999999999</v>
      </c>
    </row>
    <row r="10" spans="1:6" x14ac:dyDescent="0.15">
      <c r="A10" s="6" t="s">
        <v>49</v>
      </c>
    </row>
    <row r="11" spans="1:6" ht="15" x14ac:dyDescent="0.2">
      <c r="A11" s="17"/>
      <c r="B11" s="7" t="s">
        <v>4</v>
      </c>
      <c r="C11" s="7" t="s">
        <v>6</v>
      </c>
      <c r="D11" s="36" t="s">
        <v>41</v>
      </c>
    </row>
    <row r="12" spans="1:6" x14ac:dyDescent="0.15">
      <c r="A12" t="s">
        <v>19</v>
      </c>
      <c r="B12" s="39">
        <v>268</v>
      </c>
      <c r="C12" s="39">
        <v>425</v>
      </c>
      <c r="D12" s="39">
        <v>3454</v>
      </c>
    </row>
    <row r="13" spans="1:6" x14ac:dyDescent="0.15">
      <c r="A13" t="s">
        <v>14</v>
      </c>
      <c r="B13" s="34">
        <v>0.84884999999999999</v>
      </c>
      <c r="C13" s="34">
        <v>0.5</v>
      </c>
      <c r="D13" s="34">
        <v>0.2</v>
      </c>
    </row>
    <row r="14" spans="1:6" x14ac:dyDescent="0.15">
      <c r="A14" t="s">
        <v>15</v>
      </c>
      <c r="B14" s="34">
        <v>1.2</v>
      </c>
      <c r="C14" s="34">
        <v>0.6</v>
      </c>
      <c r="D14" s="34">
        <v>0.3</v>
      </c>
    </row>
    <row r="15" spans="1:6" x14ac:dyDescent="0.15">
      <c r="A15" t="s">
        <v>16</v>
      </c>
      <c r="B15" s="34">
        <v>0.95</v>
      </c>
      <c r="C15" s="34">
        <v>0.53</v>
      </c>
      <c r="D15" s="34">
        <v>0.23</v>
      </c>
    </row>
    <row r="16" spans="1:6" x14ac:dyDescent="0.15">
      <c r="A16" s="14" t="s">
        <v>17</v>
      </c>
      <c r="B16" s="35">
        <v>1.1399999999999999</v>
      </c>
      <c r="C16" s="35">
        <v>0.56999999999999995</v>
      </c>
      <c r="D16" s="35">
        <v>0.27</v>
      </c>
    </row>
  </sheetData>
  <mergeCells count="2">
    <mergeCell ref="E2:F2"/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"/>
  <sheetViews>
    <sheetView workbookViewId="0">
      <selection activeCell="K29" sqref="K29"/>
    </sheetView>
  </sheetViews>
  <sheetFormatPr baseColWidth="10" defaultColWidth="8.83203125" defaultRowHeight="13" x14ac:dyDescent="0.15"/>
  <cols>
    <col min="2" max="2" width="5.5" bestFit="1" customWidth="1"/>
    <col min="3" max="3" width="10.33203125" bestFit="1" customWidth="1"/>
    <col min="4" max="4" width="10.5" bestFit="1" customWidth="1"/>
    <col min="5" max="5" width="8.33203125" bestFit="1" customWidth="1"/>
    <col min="6" max="6" width="8.1640625" bestFit="1" customWidth="1"/>
    <col min="7" max="8" width="7.1640625" bestFit="1" customWidth="1"/>
    <col min="10" max="10" width="10.1640625" customWidth="1"/>
  </cols>
  <sheetData>
    <row r="1" spans="1:11" x14ac:dyDescent="0.15">
      <c r="A1" s="6" t="s">
        <v>50</v>
      </c>
    </row>
    <row r="2" spans="1:11" ht="29" x14ac:dyDescent="0.2">
      <c r="A2" s="18" t="s">
        <v>20</v>
      </c>
      <c r="B2" s="9" t="s">
        <v>21</v>
      </c>
      <c r="C2" s="9" t="s">
        <v>27</v>
      </c>
      <c r="D2" s="9" t="s">
        <v>44</v>
      </c>
      <c r="E2" s="9" t="s">
        <v>28</v>
      </c>
      <c r="F2" s="7" t="s">
        <v>24</v>
      </c>
      <c r="G2" s="7" t="s">
        <v>45</v>
      </c>
      <c r="H2" s="7" t="s">
        <v>46</v>
      </c>
    </row>
    <row r="3" spans="1:11" x14ac:dyDescent="0.15">
      <c r="A3" s="62" t="s">
        <v>43</v>
      </c>
      <c r="B3" s="19" t="s">
        <v>25</v>
      </c>
      <c r="C3" s="21">
        <v>4998</v>
      </c>
      <c r="D3" s="21">
        <v>40536</v>
      </c>
      <c r="E3" s="21">
        <v>45534</v>
      </c>
      <c r="F3" s="43">
        <v>0.1097641322967453</v>
      </c>
      <c r="G3" s="72">
        <v>-1.905575568596081E-2</v>
      </c>
      <c r="H3" s="74">
        <v>0.8520744274477321</v>
      </c>
    </row>
    <row r="4" spans="1:11" x14ac:dyDescent="0.15">
      <c r="A4" s="63"/>
      <c r="B4" s="14" t="s">
        <v>26</v>
      </c>
      <c r="C4" s="23">
        <v>1311</v>
      </c>
      <c r="D4" s="23">
        <v>8866</v>
      </c>
      <c r="E4" s="23">
        <v>10177</v>
      </c>
      <c r="F4" s="44">
        <v>0.1288198879827061</v>
      </c>
      <c r="G4" s="73"/>
      <c r="H4" s="75"/>
    </row>
    <row r="6" spans="1:11" x14ac:dyDescent="0.15">
      <c r="A6" s="6" t="s">
        <v>64</v>
      </c>
    </row>
    <row r="7" spans="1:11" ht="43" x14ac:dyDescent="0.2">
      <c r="A7" s="18" t="s">
        <v>20</v>
      </c>
      <c r="B7" s="9" t="s">
        <v>21</v>
      </c>
      <c r="C7" s="18" t="s">
        <v>22</v>
      </c>
      <c r="D7" s="18" t="s">
        <v>23</v>
      </c>
      <c r="E7" s="9" t="s">
        <v>27</v>
      </c>
      <c r="F7" s="9" t="s">
        <v>28</v>
      </c>
      <c r="G7" s="18" t="s">
        <v>24</v>
      </c>
      <c r="H7" s="18" t="s">
        <v>42</v>
      </c>
      <c r="I7" s="18" t="s">
        <v>29</v>
      </c>
      <c r="J7" s="9" t="s">
        <v>1</v>
      </c>
      <c r="K7" s="9" t="s">
        <v>2</v>
      </c>
    </row>
    <row r="8" spans="1:11" x14ac:dyDescent="0.15">
      <c r="A8" s="62">
        <v>1</v>
      </c>
      <c r="B8" s="19" t="s">
        <v>25</v>
      </c>
      <c r="C8" s="20">
        <v>1</v>
      </c>
      <c r="D8" s="20">
        <v>1</v>
      </c>
      <c r="E8" s="45">
        <v>4998</v>
      </c>
      <c r="F8" s="21">
        <v>45534</v>
      </c>
      <c r="G8" s="43">
        <v>0.1097641322967453</v>
      </c>
      <c r="H8" s="72">
        <v>-1.905575568596081E-2</v>
      </c>
      <c r="I8" s="74">
        <v>0.8520744274477321</v>
      </c>
      <c r="J8" s="62" t="s">
        <v>32</v>
      </c>
      <c r="K8" s="62" t="s">
        <v>32</v>
      </c>
    </row>
    <row r="9" spans="1:11" x14ac:dyDescent="0.15">
      <c r="A9" s="63"/>
      <c r="B9" s="14" t="s">
        <v>26</v>
      </c>
      <c r="C9" s="11">
        <v>1</v>
      </c>
      <c r="D9" s="11">
        <v>1</v>
      </c>
      <c r="E9" s="46">
        <v>1311</v>
      </c>
      <c r="F9" s="23">
        <v>10177</v>
      </c>
      <c r="G9" s="44">
        <v>0.1288198879827061</v>
      </c>
      <c r="H9" s="73"/>
      <c r="I9" s="75"/>
      <c r="J9" s="63"/>
      <c r="K9" s="63" t="s">
        <v>51</v>
      </c>
    </row>
    <row r="10" spans="1:11" x14ac:dyDescent="0.15">
      <c r="A10" s="62">
        <v>2</v>
      </c>
      <c r="B10" s="19" t="s">
        <v>25</v>
      </c>
      <c r="C10" s="20">
        <v>0.98</v>
      </c>
      <c r="D10" s="20">
        <v>0.98</v>
      </c>
      <c r="E10" s="45">
        <v>4257.6249999999991</v>
      </c>
      <c r="F10" s="21">
        <v>45534</v>
      </c>
      <c r="G10" s="47">
        <v>9.3504304475776318E-2</v>
      </c>
      <c r="H10" s="76">
        <v>-1.9849745506209188E-2</v>
      </c>
      <c r="I10" s="78">
        <v>0.8248871962725306</v>
      </c>
      <c r="J10" s="70" t="s">
        <v>30</v>
      </c>
      <c r="K10" s="70" t="s">
        <v>31</v>
      </c>
    </row>
    <row r="11" spans="1:11" x14ac:dyDescent="0.15">
      <c r="A11" s="63"/>
      <c r="B11" s="14" t="s">
        <v>26</v>
      </c>
      <c r="C11" s="11">
        <v>0.98</v>
      </c>
      <c r="D11" s="11">
        <v>0.98</v>
      </c>
      <c r="E11" s="57">
        <v>1153.6041666666665</v>
      </c>
      <c r="F11" s="23">
        <v>10177</v>
      </c>
      <c r="G11" s="48">
        <v>0.11335404998198551</v>
      </c>
      <c r="H11" s="77"/>
      <c r="I11" s="79"/>
      <c r="J11" s="71"/>
      <c r="K11" s="71" t="s">
        <v>51</v>
      </c>
    </row>
    <row r="12" spans="1:11" x14ac:dyDescent="0.15">
      <c r="A12" s="62">
        <v>3</v>
      </c>
      <c r="B12" s="19" t="s">
        <v>25</v>
      </c>
      <c r="C12" s="20">
        <v>0.98</v>
      </c>
      <c r="D12" s="20">
        <v>0.95</v>
      </c>
      <c r="E12" s="25">
        <f>(C3-(1-D12)*E3)/(C12+D12-1)</f>
        <v>2926.1290322580626</v>
      </c>
      <c r="F12" s="21">
        <v>45534</v>
      </c>
      <c r="G12" s="22">
        <f t="shared" ref="G12:G27" si="0">E12/F12</f>
        <v>6.426250784596263E-2</v>
      </c>
      <c r="H12" s="64">
        <f>G12-G13</f>
        <v>-2.0490059877377217E-2</v>
      </c>
      <c r="I12" s="66">
        <f>G12/G13</f>
        <v>0.75823670683036426</v>
      </c>
      <c r="J12" s="60" t="s">
        <v>30</v>
      </c>
      <c r="K12" s="60" t="s">
        <v>31</v>
      </c>
    </row>
    <row r="13" spans="1:11" x14ac:dyDescent="0.15">
      <c r="A13" s="63"/>
      <c r="B13" s="14" t="s">
        <v>26</v>
      </c>
      <c r="C13" s="11">
        <v>0.98</v>
      </c>
      <c r="D13" s="11">
        <v>0.95</v>
      </c>
      <c r="E13" s="56">
        <f>(C4-(1-D13)*E4)/(C13+D13-1)</f>
        <v>862.52688172042963</v>
      </c>
      <c r="F13" s="23">
        <v>10177</v>
      </c>
      <c r="G13" s="24">
        <f t="shared" si="0"/>
        <v>8.4752567723339847E-2</v>
      </c>
      <c r="H13" s="65"/>
      <c r="I13" s="67"/>
      <c r="J13" s="61"/>
      <c r="K13" s="61"/>
    </row>
    <row r="14" spans="1:11" x14ac:dyDescent="0.15">
      <c r="A14" s="62">
        <v>4</v>
      </c>
      <c r="B14" s="19" t="s">
        <v>25</v>
      </c>
      <c r="C14" s="20">
        <v>0.98</v>
      </c>
      <c r="D14" s="20">
        <v>0.9</v>
      </c>
      <c r="E14" s="25">
        <f>(C3-(1-D14)*E3)/(C14+D14-1)</f>
        <v>505.22727272727423</v>
      </c>
      <c r="F14" s="21">
        <v>45534</v>
      </c>
      <c r="G14" s="22">
        <f t="shared" si="0"/>
        <v>1.1095604882665134E-2</v>
      </c>
      <c r="H14" s="64">
        <f>G14-G15</f>
        <v>-2.1654267824955459E-2</v>
      </c>
      <c r="I14" s="66">
        <f>G14/G15</f>
        <v>0.33879841249225034</v>
      </c>
      <c r="J14" s="60" t="s">
        <v>30</v>
      </c>
      <c r="K14" s="60" t="s">
        <v>31</v>
      </c>
    </row>
    <row r="15" spans="1:11" x14ac:dyDescent="0.15">
      <c r="A15" s="63"/>
      <c r="B15" s="14" t="s">
        <v>26</v>
      </c>
      <c r="C15" s="11">
        <v>0.98</v>
      </c>
      <c r="D15" s="11">
        <v>0.9</v>
      </c>
      <c r="E15" s="26">
        <f>(C4-(1-D15)*E4)/(C15+D15-1)</f>
        <v>333.29545454545479</v>
      </c>
      <c r="F15" s="23">
        <v>10177</v>
      </c>
      <c r="G15" s="24">
        <f t="shared" si="0"/>
        <v>3.2749872707620593E-2</v>
      </c>
      <c r="H15" s="65"/>
      <c r="I15" s="67"/>
      <c r="J15" s="61"/>
      <c r="K15" s="61"/>
    </row>
    <row r="16" spans="1:11" x14ac:dyDescent="0.15">
      <c r="A16" s="62">
        <v>5</v>
      </c>
      <c r="B16" s="19" t="s">
        <v>25</v>
      </c>
      <c r="C16" s="20">
        <v>0.95</v>
      </c>
      <c r="D16" s="20">
        <v>0.9</v>
      </c>
      <c r="E16" s="25">
        <f>(C3-(1-D16)*E3)/(C16+D16-1)</f>
        <v>523.05882352941319</v>
      </c>
      <c r="F16" s="21">
        <v>45534</v>
      </c>
      <c r="G16" s="22">
        <f t="shared" si="0"/>
        <v>1.1487214466759195E-2</v>
      </c>
      <c r="H16" s="64">
        <f>G16-G17</f>
        <v>-2.241853610113035E-2</v>
      </c>
      <c r="I16" s="66">
        <f>G16/G17</f>
        <v>0.33879841249225034</v>
      </c>
      <c r="J16" s="60" t="s">
        <v>30</v>
      </c>
      <c r="K16" s="60" t="s">
        <v>31</v>
      </c>
    </row>
    <row r="17" spans="1:11" x14ac:dyDescent="0.15">
      <c r="A17" s="63"/>
      <c r="B17" s="14" t="s">
        <v>26</v>
      </c>
      <c r="C17" s="11">
        <v>0.95</v>
      </c>
      <c r="D17" s="11">
        <v>0.9</v>
      </c>
      <c r="E17" s="26">
        <f>(C4-(1-D17)*E4)/(C17+D17-1)</f>
        <v>345.05882352941194</v>
      </c>
      <c r="F17" s="23">
        <v>10177</v>
      </c>
      <c r="G17" s="24">
        <f t="shared" si="0"/>
        <v>3.3905750567889546E-2</v>
      </c>
      <c r="H17" s="65"/>
      <c r="I17" s="67"/>
      <c r="J17" s="61"/>
      <c r="K17" s="61"/>
    </row>
    <row r="18" spans="1:11" x14ac:dyDescent="0.15">
      <c r="A18" s="68">
        <v>6</v>
      </c>
      <c r="B18" t="s">
        <v>25</v>
      </c>
      <c r="C18" s="1">
        <v>0.95</v>
      </c>
      <c r="D18" s="1">
        <v>0.9</v>
      </c>
      <c r="E18" s="25">
        <f>(C3-(1-D18)*E3)/(C18+D18-1)</f>
        <v>523.05882352941319</v>
      </c>
      <c r="F18" s="21">
        <v>45534</v>
      </c>
      <c r="G18" s="27">
        <f t="shared" si="0"/>
        <v>1.1487214466759195E-2</v>
      </c>
      <c r="H18" s="64">
        <f>G18-G19</f>
        <v>8.608434032578681E-4</v>
      </c>
      <c r="I18" s="66">
        <f>G18/G19</f>
        <v>1.0810101019542437</v>
      </c>
      <c r="J18" s="69" t="s">
        <v>65</v>
      </c>
      <c r="K18" s="69" t="s">
        <v>67</v>
      </c>
    </row>
    <row r="19" spans="1:11" x14ac:dyDescent="0.15">
      <c r="A19" s="63"/>
      <c r="B19" s="14" t="s">
        <v>26</v>
      </c>
      <c r="C19" s="11">
        <v>0.95</v>
      </c>
      <c r="D19" s="11">
        <v>0.88</v>
      </c>
      <c r="E19" s="26">
        <f>(C4-(1-D19)*E4)/(C19+D19-1)</f>
        <v>108.14457831325299</v>
      </c>
      <c r="F19" s="23">
        <v>10177</v>
      </c>
      <c r="G19" s="24">
        <f t="shared" si="0"/>
        <v>1.0626371063501326E-2</v>
      </c>
      <c r="H19" s="65"/>
      <c r="I19" s="67"/>
      <c r="J19" s="61"/>
      <c r="K19" s="61"/>
    </row>
    <row r="20" spans="1:11" x14ac:dyDescent="0.15">
      <c r="A20" s="62">
        <v>7</v>
      </c>
      <c r="B20" s="19" t="s">
        <v>25</v>
      </c>
      <c r="C20" s="20">
        <v>0.98</v>
      </c>
      <c r="D20" s="20">
        <v>0.9</v>
      </c>
      <c r="E20" s="25">
        <f>(C3-(1-D20)*E3)/(C20+D20-1)</f>
        <v>505.22727272727423</v>
      </c>
      <c r="F20" s="21">
        <v>45534</v>
      </c>
      <c r="G20" s="22">
        <f t="shared" si="0"/>
        <v>1.1095604882665134E-2</v>
      </c>
      <c r="H20" s="64">
        <f>G20-G21</f>
        <v>8.3992118184408535E-4</v>
      </c>
      <c r="I20" s="66">
        <f>G20/G21</f>
        <v>1.0818981168244144</v>
      </c>
      <c r="J20" s="60" t="s">
        <v>65</v>
      </c>
      <c r="K20" s="60" t="s">
        <v>67</v>
      </c>
    </row>
    <row r="21" spans="1:11" x14ac:dyDescent="0.15">
      <c r="A21" s="63"/>
      <c r="B21" s="14" t="s">
        <v>26</v>
      </c>
      <c r="C21" s="11">
        <v>0.98</v>
      </c>
      <c r="D21" s="11">
        <v>0.88</v>
      </c>
      <c r="E21" s="26">
        <f>(C4-(1-D21)*E4)/(C21+D21-1)</f>
        <v>104.37209302325581</v>
      </c>
      <c r="F21" s="23">
        <v>10177</v>
      </c>
      <c r="G21" s="24">
        <f t="shared" si="0"/>
        <v>1.0255683700821049E-2</v>
      </c>
      <c r="H21" s="65"/>
      <c r="I21" s="67"/>
      <c r="J21" s="61"/>
      <c r="K21" s="61"/>
    </row>
    <row r="22" spans="1:11" x14ac:dyDescent="0.15">
      <c r="A22" s="62">
        <v>8</v>
      </c>
      <c r="B22" s="19" t="s">
        <v>25</v>
      </c>
      <c r="C22" s="20">
        <v>0.98</v>
      </c>
      <c r="D22" s="20">
        <v>0.9</v>
      </c>
      <c r="E22" s="25">
        <f>(C3-(1-D22)*E3)/(C22+D22-1)</f>
        <v>505.22727272727423</v>
      </c>
      <c r="F22" s="21">
        <v>45534</v>
      </c>
      <c r="G22" s="22">
        <f t="shared" si="0"/>
        <v>1.1095604882665134E-2</v>
      </c>
      <c r="H22" s="64">
        <f>G22-G23</f>
        <v>4.6923381916380742E-4</v>
      </c>
      <c r="I22" s="66">
        <f>G22/G23</f>
        <v>1.0441574848421675</v>
      </c>
      <c r="J22" s="60" t="s">
        <v>65</v>
      </c>
      <c r="K22" s="60" t="s">
        <v>67</v>
      </c>
    </row>
    <row r="23" spans="1:11" x14ac:dyDescent="0.15">
      <c r="A23" s="63"/>
      <c r="B23" s="14" t="s">
        <v>26</v>
      </c>
      <c r="C23" s="11">
        <v>0.95</v>
      </c>
      <c r="D23" s="11">
        <v>0.88</v>
      </c>
      <c r="E23" s="26">
        <f>(C4-(1-D23)*E4)/(C23+D23-1)</f>
        <v>108.14457831325299</v>
      </c>
      <c r="F23" s="23">
        <v>10177</v>
      </c>
      <c r="G23" s="24">
        <f t="shared" si="0"/>
        <v>1.0626371063501326E-2</v>
      </c>
      <c r="H23" s="65"/>
      <c r="I23" s="67"/>
      <c r="J23" s="61"/>
      <c r="K23" s="61"/>
    </row>
    <row r="24" spans="1:11" x14ac:dyDescent="0.15">
      <c r="A24" s="62">
        <v>9</v>
      </c>
      <c r="B24" s="19" t="s">
        <v>25</v>
      </c>
      <c r="C24" s="20">
        <v>0.98</v>
      </c>
      <c r="D24" s="20">
        <v>0.9</v>
      </c>
      <c r="E24" s="25">
        <f>(C3-(1-D24)*E3)/(C24+D24-1)</f>
        <v>505.22727272727423</v>
      </c>
      <c r="F24" s="21">
        <v>45534</v>
      </c>
      <c r="G24" s="22">
        <f t="shared" si="0"/>
        <v>1.1095604882665134E-2</v>
      </c>
      <c r="H24" s="64">
        <f>G24-G25</f>
        <v>-2.1194381311191897E-4</v>
      </c>
      <c r="I24" s="66">
        <f>G24/G25</f>
        <v>0.98125643153842246</v>
      </c>
      <c r="J24" s="60" t="s">
        <v>65</v>
      </c>
      <c r="K24" s="60" t="s">
        <v>66</v>
      </c>
    </row>
    <row r="25" spans="1:11" x14ac:dyDescent="0.15">
      <c r="A25" s="63"/>
      <c r="B25" s="14" t="s">
        <v>26</v>
      </c>
      <c r="C25" s="11">
        <v>0.9</v>
      </c>
      <c r="D25" s="11">
        <v>0.88</v>
      </c>
      <c r="E25" s="26">
        <f>(C4-(1-D25)*E4)/(C25+D25-1)</f>
        <v>115.07692307692307</v>
      </c>
      <c r="F25" s="23">
        <v>10177</v>
      </c>
      <c r="G25" s="24">
        <f t="shared" si="0"/>
        <v>1.1307548695777053E-2</v>
      </c>
      <c r="H25" s="65"/>
      <c r="I25" s="67"/>
      <c r="J25" s="61"/>
      <c r="K25" s="61"/>
    </row>
    <row r="26" spans="1:11" x14ac:dyDescent="0.15">
      <c r="A26" s="62">
        <v>10</v>
      </c>
      <c r="B26" s="19" t="s">
        <v>25</v>
      </c>
      <c r="C26" s="20">
        <v>0.98</v>
      </c>
      <c r="D26" s="20">
        <v>0.95</v>
      </c>
      <c r="E26" s="25">
        <f>(C3-(1-D26)*E3)/(C26+D26-1)</f>
        <v>2926.1290322580626</v>
      </c>
      <c r="F26" s="21">
        <v>45534</v>
      </c>
      <c r="G26" s="22">
        <f t="shared" si="0"/>
        <v>6.426250784596263E-2</v>
      </c>
      <c r="H26" s="64">
        <f>G26-G27</f>
        <v>5.2954959150185575E-2</v>
      </c>
      <c r="I26" s="66">
        <f>G26/G27</f>
        <v>5.6831511032945876</v>
      </c>
      <c r="J26" s="60" t="s">
        <v>65</v>
      </c>
      <c r="K26" s="60" t="s">
        <v>67</v>
      </c>
    </row>
    <row r="27" spans="1:11" x14ac:dyDescent="0.15">
      <c r="A27" s="63"/>
      <c r="B27" s="14" t="s">
        <v>26</v>
      </c>
      <c r="C27" s="11">
        <v>0.9</v>
      </c>
      <c r="D27" s="11">
        <v>0.88</v>
      </c>
      <c r="E27" s="26">
        <f>(C4-(1-D27)*E4)/(C27+D27-1)</f>
        <v>115.07692307692307</v>
      </c>
      <c r="F27" s="23">
        <v>10177</v>
      </c>
      <c r="G27" s="24">
        <f t="shared" si="0"/>
        <v>1.1307548695777053E-2</v>
      </c>
      <c r="H27" s="65"/>
      <c r="I27" s="67"/>
      <c r="J27" s="61"/>
      <c r="K27" s="61"/>
    </row>
    <row r="30" spans="1:11" x14ac:dyDescent="0.15">
      <c r="E30" s="56"/>
    </row>
  </sheetData>
  <mergeCells count="53">
    <mergeCell ref="H14:H15"/>
    <mergeCell ref="K14:K15"/>
    <mergeCell ref="I14:I15"/>
    <mergeCell ref="J14:J15"/>
    <mergeCell ref="A3:A4"/>
    <mergeCell ref="A10:A11"/>
    <mergeCell ref="G3:G4"/>
    <mergeCell ref="H3:H4"/>
    <mergeCell ref="H10:H11"/>
    <mergeCell ref="I10:I11"/>
    <mergeCell ref="H8:H9"/>
    <mergeCell ref="I8:I9"/>
    <mergeCell ref="A16:A17"/>
    <mergeCell ref="H16:H17"/>
    <mergeCell ref="K16:K17"/>
    <mergeCell ref="I16:I17"/>
    <mergeCell ref="J8:J9"/>
    <mergeCell ref="K8:K9"/>
    <mergeCell ref="A12:A13"/>
    <mergeCell ref="H12:H13"/>
    <mergeCell ref="K12:K13"/>
    <mergeCell ref="J16:J17"/>
    <mergeCell ref="J10:J11"/>
    <mergeCell ref="K10:K11"/>
    <mergeCell ref="A8:A9"/>
    <mergeCell ref="I12:I13"/>
    <mergeCell ref="J12:J13"/>
    <mergeCell ref="A14:A15"/>
    <mergeCell ref="A18:A19"/>
    <mergeCell ref="H18:H19"/>
    <mergeCell ref="K18:K19"/>
    <mergeCell ref="I18:I19"/>
    <mergeCell ref="J18:J19"/>
    <mergeCell ref="A20:A21"/>
    <mergeCell ref="H20:H21"/>
    <mergeCell ref="K20:K21"/>
    <mergeCell ref="I20:I21"/>
    <mergeCell ref="J20:J21"/>
    <mergeCell ref="A22:A23"/>
    <mergeCell ref="H22:H23"/>
    <mergeCell ref="K22:K23"/>
    <mergeCell ref="I22:I23"/>
    <mergeCell ref="J22:J23"/>
    <mergeCell ref="J24:J25"/>
    <mergeCell ref="A26:A27"/>
    <mergeCell ref="H26:H27"/>
    <mergeCell ref="K26:K27"/>
    <mergeCell ref="I26:I27"/>
    <mergeCell ref="J26:J27"/>
    <mergeCell ref="A24:A25"/>
    <mergeCell ref="H24:H25"/>
    <mergeCell ref="K24:K25"/>
    <mergeCell ref="I24:I2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E7F00-AFBF-441B-B024-BB7C8F93E402}">
  <dimension ref="A1:G12"/>
  <sheetViews>
    <sheetView workbookViewId="0">
      <selection activeCell="G13" sqref="G13"/>
    </sheetView>
  </sheetViews>
  <sheetFormatPr baseColWidth="10" defaultColWidth="8.83203125" defaultRowHeight="13" x14ac:dyDescent="0.15"/>
  <cols>
    <col min="1" max="1" width="39.83203125" customWidth="1"/>
  </cols>
  <sheetData>
    <row r="1" spans="1:7" x14ac:dyDescent="0.15">
      <c r="A1" s="6" t="s">
        <v>63</v>
      </c>
    </row>
    <row r="2" spans="1:7" ht="15" x14ac:dyDescent="0.15">
      <c r="A2" s="19"/>
      <c r="B2" s="80" t="s">
        <v>52</v>
      </c>
      <c r="C2" s="80"/>
      <c r="D2" s="80"/>
      <c r="E2" s="80" t="s">
        <v>53</v>
      </c>
      <c r="F2" s="80"/>
      <c r="G2" s="80"/>
    </row>
    <row r="3" spans="1:7" x14ac:dyDescent="0.15">
      <c r="A3" s="14"/>
      <c r="B3" s="49" t="s">
        <v>54</v>
      </c>
      <c r="C3" s="49" t="s">
        <v>55</v>
      </c>
      <c r="D3" s="49" t="s">
        <v>56</v>
      </c>
      <c r="E3" s="49" t="s">
        <v>54</v>
      </c>
      <c r="F3" s="49" t="s">
        <v>55</v>
      </c>
      <c r="G3" s="49" t="s">
        <v>56</v>
      </c>
    </row>
    <row r="4" spans="1:7" x14ac:dyDescent="0.15">
      <c r="A4" s="50" t="s">
        <v>57</v>
      </c>
      <c r="B4" s="50"/>
      <c r="C4" s="50"/>
      <c r="D4" s="50"/>
      <c r="E4" s="50"/>
      <c r="F4" s="50"/>
      <c r="G4" s="50"/>
    </row>
    <row r="5" spans="1:7" x14ac:dyDescent="0.15">
      <c r="A5" s="51" t="s">
        <v>58</v>
      </c>
      <c r="B5" s="41">
        <v>0.85209999999999997</v>
      </c>
      <c r="C5" s="41">
        <v>0.80489999999999995</v>
      </c>
      <c r="D5" s="41">
        <v>0.90200000000000002</v>
      </c>
      <c r="E5" s="41">
        <v>0.95120000000000005</v>
      </c>
      <c r="F5" s="41">
        <v>0.89200000000000002</v>
      </c>
      <c r="G5" s="41">
        <v>1.0144</v>
      </c>
    </row>
    <row r="6" spans="1:7" x14ac:dyDescent="0.15">
      <c r="A6" s="50" t="s">
        <v>59</v>
      </c>
      <c r="B6" s="50"/>
      <c r="C6" s="50"/>
      <c r="D6" s="50"/>
      <c r="E6" s="50"/>
      <c r="F6" s="50"/>
      <c r="G6" s="50"/>
    </row>
    <row r="7" spans="1:7" x14ac:dyDescent="0.15">
      <c r="A7" s="51" t="s">
        <v>58</v>
      </c>
      <c r="B7" s="52">
        <v>0.82369999999999999</v>
      </c>
      <c r="C7" s="52">
        <v>0.77969999999999995</v>
      </c>
      <c r="D7" s="52">
        <v>0.87029999999999996</v>
      </c>
      <c r="E7" s="52">
        <v>0.97</v>
      </c>
      <c r="F7" s="52">
        <v>0.91020000000000001</v>
      </c>
      <c r="G7" s="52">
        <v>1.0337000000000001</v>
      </c>
    </row>
    <row r="8" spans="1:7" x14ac:dyDescent="0.15">
      <c r="A8" s="50" t="s">
        <v>60</v>
      </c>
      <c r="B8" s="50"/>
      <c r="C8" s="50"/>
      <c r="D8" s="50"/>
      <c r="E8" s="50"/>
      <c r="F8" s="50"/>
      <c r="G8" s="50"/>
    </row>
    <row r="9" spans="1:7" x14ac:dyDescent="0.15">
      <c r="A9" s="51" t="s">
        <v>58</v>
      </c>
      <c r="B9" s="52">
        <v>1.0158</v>
      </c>
      <c r="C9" s="52">
        <v>0.97560000000000002</v>
      </c>
      <c r="D9" s="52">
        <v>1.0577000000000001</v>
      </c>
      <c r="E9" s="52">
        <v>0.89600000000000002</v>
      </c>
      <c r="F9" s="52">
        <v>0.84560000000000002</v>
      </c>
      <c r="G9" s="52">
        <v>0.94940000000000002</v>
      </c>
    </row>
    <row r="10" spans="1:7" x14ac:dyDescent="0.15">
      <c r="A10" s="50" t="s">
        <v>61</v>
      </c>
      <c r="B10" s="50"/>
      <c r="C10" s="50"/>
      <c r="D10" s="50"/>
      <c r="E10" s="50"/>
      <c r="F10" s="50"/>
      <c r="G10" s="50"/>
    </row>
    <row r="11" spans="1:7" x14ac:dyDescent="0.15">
      <c r="A11" s="53" t="s">
        <v>58</v>
      </c>
      <c r="B11" s="54">
        <v>0.81610000000000005</v>
      </c>
      <c r="C11" s="54">
        <v>0.77459999999999996</v>
      </c>
      <c r="D11" s="54">
        <v>0.85980000000000001</v>
      </c>
      <c r="E11" s="54">
        <v>0.91249999999999998</v>
      </c>
      <c r="F11" s="54">
        <v>0.86019999999999996</v>
      </c>
      <c r="G11" s="54">
        <v>0.96809999999999996</v>
      </c>
    </row>
    <row r="12" spans="1:7" ht="15.75" customHeight="1" x14ac:dyDescent="0.15">
      <c r="A12" s="81" t="s">
        <v>62</v>
      </c>
      <c r="B12" s="82"/>
      <c r="C12" s="82"/>
      <c r="D12" s="82"/>
      <c r="E12" s="82"/>
      <c r="F12" s="82"/>
      <c r="G12" s="82"/>
    </row>
  </sheetData>
  <mergeCells count="3">
    <mergeCell ref="B2:D2"/>
    <mergeCell ref="E2:G2"/>
    <mergeCell ref="A12:G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D251C11E0F6D4B9D2948176D0627E5" ma:contentTypeVersion="13" ma:contentTypeDescription="Create a new document." ma:contentTypeScope="" ma:versionID="8cef955b0b3db8c865177ac282e58b07">
  <xsd:schema xmlns:xsd="http://www.w3.org/2001/XMLSchema" xmlns:xs="http://www.w3.org/2001/XMLSchema" xmlns:p="http://schemas.microsoft.com/office/2006/metadata/properties" xmlns:ns3="cd26d42d-d760-4071-88bf-bf0230af318d" xmlns:ns4="ced215b4-b0f6-4a93-9883-1f291bab346a" targetNamespace="http://schemas.microsoft.com/office/2006/metadata/properties" ma:root="true" ma:fieldsID="264fe7609c31b0fa0f7c0842e1646015" ns3:_="" ns4:_="">
    <xsd:import namespace="cd26d42d-d760-4071-88bf-bf0230af318d"/>
    <xsd:import namespace="ced215b4-b0f6-4a93-9883-1f291bab34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26d42d-d760-4071-88bf-bf0230af3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215b4-b0f6-4a93-9883-1f291bab346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613D28-0A39-4069-B5F1-2A5AC613C7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26d42d-d760-4071-88bf-bf0230af318d"/>
    <ds:schemaRef ds:uri="ced215b4-b0f6-4a93-9883-1f291bab34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4A44C3-EC5D-4808-BFE9-41088D8BBBF1}">
  <ds:schemaRefs>
    <ds:schemaRef ds:uri="http://purl.org/dc/dcmitype/"/>
    <ds:schemaRef ds:uri="http://purl.org/dc/terms/"/>
    <ds:schemaRef ds:uri="ced215b4-b0f6-4a93-9883-1f291bab346a"/>
    <ds:schemaRef ds:uri="http://schemas.microsoft.com/office/2006/documentManagement/types"/>
    <ds:schemaRef ds:uri="http://schemas.microsoft.com/office/infopath/2007/PartnerControls"/>
    <ds:schemaRef ds:uri="cd26d42d-d760-4071-88bf-bf0230af318d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9FB02F4-CC83-448C-998D-8342C6BF83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Table 1</vt:lpstr>
      <vt:lpstr>Table 2 &amp; 3</vt:lpstr>
      <vt:lpstr>Table 4</vt:lpstr>
      <vt:lpstr>Table 5</vt:lpstr>
      <vt:lpstr>'Table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2022-04-04T22:00:31Z</dcterms:created>
  <dcterms:modified xsi:type="dcterms:W3CDTF">2024-04-07T01:58:44Z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0x0101001DD251C11E0F6D4B9D2948176D0627E5</vt:lpwstr>
  </property>
</Properties>
</file>