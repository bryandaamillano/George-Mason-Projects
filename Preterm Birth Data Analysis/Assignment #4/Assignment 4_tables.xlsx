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filterPrivacy="1" defaultThemeVersion="124226"/>
  <xr:revisionPtr revIDLastSave="0" documentId="13_ncr:1_{AF7B0812-2BD4-6F4A-AD18-75F03AE70A58}" xr6:coauthVersionLast="47" xr6:coauthVersionMax="47" xr10:uidLastSave="{00000000-0000-0000-0000-000000000000}"/>
  <bookViews>
    <workbookView xWindow="0" yWindow="500" windowWidth="25600" windowHeight="14300" activeTab="2" xr2:uid="{00000000-000D-0000-FFFF-FFFF00000000}"/>
  </bookViews>
  <sheets>
    <sheet name="Table 1" sheetId="2" r:id="rId1"/>
    <sheet name="Table 2" sheetId="3" r:id="rId2"/>
    <sheet name="Table 3" sheetId="4" r:id="rId3"/>
  </sheets>
  <definedNames>
    <definedName name="_xlnm.Print_Titles" localSheetId="2">'Table 3'!$A:$A,'Table 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2" i="4" l="1"/>
  <c r="Q33" i="4"/>
  <c r="E33" i="4" l="1"/>
  <c r="H33" i="4"/>
  <c r="H32" i="4"/>
  <c r="B32" i="4"/>
  <c r="H12" i="3" l="1"/>
  <c r="G12" i="3"/>
  <c r="F12" i="3"/>
  <c r="E12" i="3"/>
  <c r="F6" i="3"/>
  <c r="F7" i="3"/>
  <c r="F8" i="3"/>
  <c r="F9" i="3"/>
  <c r="F10" i="3"/>
  <c r="F11" i="3"/>
  <c r="F5" i="3"/>
  <c r="E6" i="3"/>
  <c r="E7" i="3"/>
  <c r="E8" i="3"/>
  <c r="E9" i="3"/>
  <c r="E10" i="3"/>
  <c r="E11" i="3"/>
  <c r="E5" i="3"/>
  <c r="J18" i="2"/>
  <c r="J19" i="2"/>
  <c r="J20" i="2"/>
  <c r="J21" i="2"/>
  <c r="J22" i="2"/>
  <c r="J23" i="2"/>
  <c r="J17" i="2"/>
  <c r="J14" i="2"/>
  <c r="J7" i="2"/>
  <c r="J8" i="2"/>
  <c r="J9" i="2"/>
  <c r="J10" i="2"/>
  <c r="J11" i="2"/>
  <c r="J6" i="2"/>
  <c r="E23" i="2"/>
  <c r="E18" i="2"/>
  <c r="E19" i="2"/>
  <c r="E20" i="2"/>
  <c r="E21" i="2"/>
  <c r="E22" i="2"/>
  <c r="E17" i="2"/>
  <c r="E14" i="2"/>
  <c r="E7" i="2"/>
  <c r="E8" i="2"/>
  <c r="E9" i="2"/>
  <c r="E10" i="2"/>
  <c r="E11" i="2"/>
  <c r="E6" i="2"/>
</calcChain>
</file>

<file path=xl/sharedStrings.xml><?xml version="1.0" encoding="utf-8"?>
<sst xmlns="http://schemas.openxmlformats.org/spreadsheetml/2006/main" count="197" uniqueCount="89">
  <si>
    <t>OR</t>
  </si>
  <si>
    <t>Multi-racial</t>
  </si>
  <si>
    <r>
      <rPr>
        <vertAlign val="superscript"/>
        <sz val="10"/>
        <color indexed="8"/>
        <rFont val="Arial"/>
        <family val="2"/>
      </rPr>
      <t>b</t>
    </r>
    <r>
      <rPr>
        <sz val="10"/>
        <color theme="1"/>
        <rFont val="Arial"/>
        <family val="2"/>
      </rPr>
      <t>Reference group</t>
    </r>
  </si>
  <si>
    <t>12-14</t>
  </si>
  <si>
    <t>15-19</t>
  </si>
  <si>
    <t>20-24</t>
  </si>
  <si>
    <t>30-34</t>
  </si>
  <si>
    <t>35-39</t>
  </si>
  <si>
    <t>Covariate</t>
  </si>
  <si>
    <t>Lower Limit</t>
  </si>
  <si>
    <t>Upper Limit</t>
  </si>
  <si>
    <t>Width</t>
  </si>
  <si>
    <t>Association</t>
  </si>
  <si>
    <t>Conclusion</t>
  </si>
  <si>
    <t>Preterm Birth</t>
  </si>
  <si>
    <t>RR</t>
  </si>
  <si>
    <t>Maternal Race/Ethnicity</t>
  </si>
  <si>
    <r>
      <t>White</t>
    </r>
    <r>
      <rPr>
        <vertAlign val="superscript"/>
        <sz val="10"/>
        <color indexed="8"/>
        <rFont val="Arial"/>
        <family val="2"/>
      </rPr>
      <t>b</t>
    </r>
  </si>
  <si>
    <t>African American</t>
  </si>
  <si>
    <t>American Indian/Alaska Native</t>
  </si>
  <si>
    <t>Asian</t>
  </si>
  <si>
    <t>Hawaiian/Pacific Islander</t>
  </si>
  <si>
    <t>Hispanic</t>
  </si>
  <si>
    <t>Mother smoked during pregnancy</t>
  </si>
  <si>
    <r>
      <t>No</t>
    </r>
    <r>
      <rPr>
        <vertAlign val="superscript"/>
        <sz val="10"/>
        <color indexed="8"/>
        <rFont val="Arial"/>
        <family val="2"/>
      </rPr>
      <t>b</t>
    </r>
  </si>
  <si>
    <t>Yes</t>
  </si>
  <si>
    <t>Maternal age, years</t>
  </si>
  <si>
    <t>40-44</t>
  </si>
  <si>
    <t>45-50</t>
  </si>
  <si>
    <r>
      <t>25-29</t>
    </r>
    <r>
      <rPr>
        <vertAlign val="superscript"/>
        <sz val="10"/>
        <color indexed="8"/>
        <rFont val="Arial"/>
        <family val="2"/>
      </rPr>
      <t>b</t>
    </r>
  </si>
  <si>
    <r>
      <t>Entry into Prenatal Care</t>
    </r>
    <r>
      <rPr>
        <b/>
        <vertAlign val="superscript"/>
        <sz val="10"/>
        <rFont val="Arial"/>
        <family val="2"/>
      </rPr>
      <t>a</t>
    </r>
  </si>
  <si>
    <r>
      <rPr>
        <vertAlign val="superscript"/>
        <sz val="10"/>
        <rFont val="Arial"/>
        <family val="2"/>
      </rPr>
      <t>a</t>
    </r>
    <r>
      <rPr>
        <sz val="10"/>
        <rFont val="Arial"/>
        <family val="2"/>
      </rPr>
      <t>Early entry into prenatal care (prior to 5 months gestation) vs. not early entry (no entry into prenatal care or entry in month 5 or later)</t>
    </r>
  </si>
  <si>
    <t>Not Early Entry</t>
  </si>
  <si>
    <t>Total</t>
  </si>
  <si>
    <t>Standardized RR</t>
  </si>
  <si>
    <t>Weight*Risk</t>
  </si>
  <si>
    <t>-</t>
  </si>
  <si>
    <t>Risk of Preterm Birth</t>
  </si>
  <si>
    <t>Weight</t>
  </si>
  <si>
    <r>
      <t>Early Entry</t>
    </r>
    <r>
      <rPr>
        <b/>
        <vertAlign val="superscript"/>
        <sz val="10"/>
        <color indexed="8"/>
        <rFont val="Arial"/>
        <family val="2"/>
      </rPr>
      <t>a</t>
    </r>
  </si>
  <si>
    <r>
      <t>% Change</t>
    </r>
    <r>
      <rPr>
        <b/>
        <vertAlign val="superscript"/>
        <sz val="10"/>
        <color indexed="8"/>
        <rFont val="Arial"/>
        <family val="2"/>
      </rPr>
      <t>c</t>
    </r>
  </si>
  <si>
    <t>Model 1</t>
  </si>
  <si>
    <t>Model 2</t>
  </si>
  <si>
    <t>Model 3</t>
  </si>
  <si>
    <t>Model 4</t>
  </si>
  <si>
    <t>Lower</t>
  </si>
  <si>
    <t>Upper</t>
  </si>
  <si>
    <t>MAIN EXPOSURE</t>
  </si>
  <si>
    <t>POTENTIAL CONFOUNDERS</t>
  </si>
  <si>
    <t>EVALUATION</t>
  </si>
  <si>
    <t>Description</t>
  </si>
  <si>
    <t>Total N</t>
  </si>
  <si>
    <t>Notes</t>
  </si>
  <si>
    <t>Early Entry into Prenatal Care</t>
  </si>
  <si>
    <t>Preterm</t>
  </si>
  <si>
    <t>%Change in Entry into Prenatal Care RR</t>
  </si>
  <si>
    <t>Adjusted for all potential confounders</t>
  </si>
  <si>
    <t>Adjusted for maternal smoking and maternal age only</t>
  </si>
  <si>
    <t>Adjusted for maternal race/ethnicity &amp; maternal age</t>
  </si>
  <si>
    <t>Model 5</t>
  </si>
  <si>
    <t>Adjusted for maternal race/ethnicty &amp; maternal smoking during pregnancy</t>
  </si>
  <si>
    <t>Compared to Model #</t>
  </si>
  <si>
    <t>Unadjusted</t>
  </si>
  <si>
    <t xml:space="preserve">This model drops the fewest observations.  </t>
  </si>
  <si>
    <t>Model 6</t>
  </si>
  <si>
    <t>Precision of 95% CI for Prenatal Care</t>
  </si>
  <si>
    <t>Table 3.  Model Based Evaluation of Confounding of the RR for the Main Effect</t>
  </si>
  <si>
    <t>Table 1.  Assessment of Potential Confounders</t>
  </si>
  <si>
    <t>Table 2.  Data to Calculate the Risk Ratio for Preterm Birth Comparing Early Entry Into Prenatal Care Versus not Early Entry Standardized to the Distirbution of Individual Covariates in the Total Population.  Covariates Include Maternal Race/Ethnicity, Maternal Smoking Duing Pregnnacy, and Maternal Age (5 Year Age Groups).</t>
  </si>
  <si>
    <r>
      <rPr>
        <vertAlign val="superscript"/>
        <sz val="10"/>
        <color indexed="8"/>
        <rFont val="Arial"/>
        <family val="2"/>
      </rPr>
      <t>c</t>
    </r>
    <r>
      <rPr>
        <sz val="10"/>
        <color theme="1"/>
        <rFont val="Arial"/>
        <family val="2"/>
      </rPr>
      <t>(Unadjusted RR - Standardized RR)/Standardized RR*100.  Unadjusted RR = 0.8521</t>
    </r>
  </si>
  <si>
    <t>This model and the fully adjusted model drop the most observations.  From an interpretation perspective, the effect estimate changes minimally from the fully adjusted model, which suggests maternal age is a weaker confounder than one might expect.  However, based on the DAG, maternal age should be included.</t>
  </si>
  <si>
    <t>This model does not drop very many observations (considering the size of the dataset).  The estimate  changes minimally from the fully adjusted model, which suggests that maternal smoking during pregnancy is likely a weak confounder.  However, it could  appear to be unimportant because it is poorly measured.</t>
  </si>
  <si>
    <t>Moderate</t>
  </si>
  <si>
    <t>Weak</t>
  </si>
  <si>
    <t>weak</t>
  </si>
  <si>
    <t>mod</t>
  </si>
  <si>
    <t>strong</t>
  </si>
  <si>
    <t>Include</t>
  </si>
  <si>
    <t>null</t>
  </si>
  <si>
    <t>Adjusted for maternal race/ethnicity only</t>
  </si>
  <si>
    <t>NOT FINAL MODEL: We didn't select model 1 as the final model because, according to the information in tables 1 and 2 as well as the DAG, it's evident that maternal race/ethnicity and maternal age should be included as confounders. These variables affect both early entry into prenatal care (exposure) and preterm birth (outcome). However, the fully unadjusted model fails to control for these associations and the potential backdoor paths depicted in the DAG, thereby hindering accurate measurement of the association of interest. Thus, this unadjusted model wouldn't qualify as a suitable final model.</t>
  </si>
  <si>
    <t>This model, while dropping a substantial amount of missing observations compared to the unadjusted model, also accounts for all three variables considered potential confounders. However, it still drops a significant number of observations. Comparing it to model 4, which has the smallest percent change from this model and only controls for race/ethnicity and age, the substantial portion of dropped observations in model 2 likely originates from the maternal smoking variable included here, suggesting potential issues with the measurement of maternal smoking.</t>
  </si>
  <si>
    <t>FINAL MODEL: I selected model 2 as the final model because it incorporates maternal race/ethnicity, maternal age, and maternal smoking, factors crucial for accurate assessment based on the % change in RR for the exposure and outcome, as well as the association identified through the DAG. This model offers the clearest measurement of the effect of early entry into prenatal care on the risk of preterm birth, devoid of any potential backdoor paths that could distort the measure of association. Although this model adjusts for all confounders identified using a DAG, maternal smoking during pregnancy exhibits a weak association with both the exposure and outcome variables, suggesting it might not significantly confound the relationship between exposure and outcome.</t>
  </si>
  <si>
    <t>This model drops a substantial amount of observations. There is also a comparatively large change from fully adjusted model, suggesting maternal race/ethnicity is likely a strong confounder that should be included in the model.</t>
  </si>
  <si>
    <t xml:space="preserve">NOT FINAL MODEL: This model does not adjust for maternal race/ethnicity, which was found to have a moderate association in both entry into prenatal care and preterm birth. The percent change in entry into prenatal care is also considerably larger than the other models and is closer to the unadjusted model. Additionally, the DAG shows that maternal race/ethnicity creates potential backdoor paths, which prevents us from properly measuring the association we are interested in. While this model does drop a substantial amount of observations, it does not fit best the relationships between these variables and confounders of interest. </t>
  </si>
  <si>
    <t xml:space="preserve">NOT FINAL MODEL: This model is very similar to model 2, the filly adjusted model, as shown by the small percent change. It includes the two variables with the strongest measures of association, maternal race/ethnicity and maternal age; however, we did not ultimately choose this model because based on the DAG, maternal smoking should be included even if the strength of association is weaker compared to race/ethnicity and age. </t>
  </si>
  <si>
    <t xml:space="preserve">NOT FINAL MODEL: Although the effect estimates are similar with this model, it did not adjust for a variable we deemed to have confounding effects with entry into prenatal care and preterm births. Maternal age was previously shown to have a strong percent change from unadjusted RR to adjusted RR (table 2). Even  though this model suggests maternal age does not have as strong of an effect compared to maternal race/ethnicity, i feel it should still be included based on the previous analysis in table 2 as well as the backdoor paths created shown in the DAG. </t>
  </si>
  <si>
    <t xml:space="preserve">This model drops a substantial amount of observations. % change from fully unadjusted model is large  compared to the fully adjust model, indicating that maternal/race ethnicity is a stronger confounder than smoking and age. Compared to the fully adjusted model, model 2's adjustments for smoking and age may better capture the complexity of preterm birth risk. </t>
  </si>
  <si>
    <t>NOT FINAL MODEL: Although the effect estimates are somewhat similar with this model, like the previous one, it did not adjust for all variables deemed to have potential confounding effects with entry into prenatal care and preterm births. While it is clear that maternal race/ethnicity is by far the strongest confounder, only controlling for it in the model is not sufficient based on the data. The large percent change in early entry into prenatal care RR here indicates that other variables should be controlled for in the final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</si>
</sst>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
  </numFmts>
  <fonts count="13">
    <font>
      <sz val="10"/>
      <color theme="1"/>
      <name val="Arial"/>
      <family val="2"/>
    </font>
    <font>
      <vertAlign val="superscript"/>
      <sz val="10"/>
      <color indexed="8"/>
      <name val="Arial"/>
      <family val="2"/>
    </font>
    <font>
      <sz val="10"/>
      <name val="Arial"/>
      <family val="2"/>
    </font>
    <font>
      <vertAlign val="superscript"/>
      <sz val="10"/>
      <name val="Arial"/>
      <family val="2"/>
    </font>
    <font>
      <b/>
      <sz val="10"/>
      <name val="Arial"/>
      <family val="2"/>
    </font>
    <font>
      <sz val="10"/>
      <name val="MS Sans Serif"/>
      <family val="2"/>
    </font>
    <font>
      <b/>
      <vertAlign val="superscript"/>
      <sz val="10"/>
      <name val="Arial"/>
      <family val="2"/>
    </font>
    <font>
      <b/>
      <vertAlign val="superscript"/>
      <sz val="10"/>
      <color indexed="8"/>
      <name val="Arial"/>
      <family val="2"/>
    </font>
    <font>
      <b/>
      <sz val="10"/>
      <color theme="1"/>
      <name val="Arial"/>
      <family val="2"/>
    </font>
    <font>
      <sz val="10"/>
      <color rgb="FFFF0000"/>
      <name val="Arial"/>
      <family val="2"/>
    </font>
    <font>
      <b/>
      <sz val="10"/>
      <color rgb="FFFF0000"/>
      <name val="Arial"/>
      <family val="2"/>
    </font>
    <font>
      <sz val="12"/>
      <color rgb="FF002288"/>
      <name val="Arial"/>
      <family val="2"/>
    </font>
    <font>
      <sz val="10"/>
      <color rgb="FF000000"/>
      <name val="Arial"/>
      <family val="2"/>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2">
    <xf numFmtId="0" fontId="0" fillId="0" borderId="0"/>
    <xf numFmtId="0" fontId="5" fillId="0" borderId="0"/>
  </cellStyleXfs>
  <cellXfs count="81">
    <xf numFmtId="0" fontId="0" fillId="0" borderId="0" xfId="0"/>
    <xf numFmtId="0" fontId="0" fillId="0" borderId="1" xfId="0" applyBorder="1" applyAlignment="1">
      <alignment wrapText="1"/>
    </xf>
    <xf numFmtId="0" fontId="4" fillId="0" borderId="1" xfId="0" applyFont="1" applyBorder="1" applyAlignment="1">
      <alignment horizontal="center"/>
    </xf>
    <xf numFmtId="0" fontId="4" fillId="0" borderId="2" xfId="0" applyFont="1" applyBorder="1" applyAlignment="1">
      <alignment horizontal="center" wrapText="1"/>
    </xf>
    <xf numFmtId="0" fontId="4" fillId="0" borderId="2" xfId="0" applyFont="1" applyBorder="1" applyAlignment="1">
      <alignment horizontal="center"/>
    </xf>
    <xf numFmtId="0" fontId="4" fillId="0" borderId="0" xfId="0" applyFont="1" applyAlignment="1">
      <alignment vertical="top"/>
    </xf>
    <xf numFmtId="0" fontId="4" fillId="0" borderId="0" xfId="0" applyFont="1" applyAlignment="1">
      <alignment vertical="top" wrapText="1"/>
    </xf>
    <xf numFmtId="164" fontId="0" fillId="0" borderId="0" xfId="0" applyNumberFormat="1" applyAlignment="1">
      <alignment vertical="top"/>
    </xf>
    <xf numFmtId="165" fontId="5" fillId="0" borderId="0" xfId="1" applyNumberFormat="1" applyAlignment="1">
      <alignment vertical="top"/>
    </xf>
    <xf numFmtId="0" fontId="0" fillId="0" borderId="0" xfId="0" applyAlignment="1">
      <alignment horizontal="left" indent="1"/>
    </xf>
    <xf numFmtId="0" fontId="0" fillId="0" borderId="2" xfId="0" applyBorder="1" applyAlignment="1">
      <alignment horizontal="left" indent="1"/>
    </xf>
    <xf numFmtId="2" fontId="2" fillId="0" borderId="0" xfId="0" applyNumberFormat="1" applyFont="1" applyAlignment="1">
      <alignment horizontal="center"/>
    </xf>
    <xf numFmtId="2" fontId="9" fillId="0" borderId="0" xfId="0" applyNumberFormat="1" applyFont="1" applyAlignment="1">
      <alignment horizontal="center"/>
    </xf>
    <xf numFmtId="2" fontId="0" fillId="0" borderId="0" xfId="0" applyNumberFormat="1" applyAlignment="1">
      <alignment horizontal="center"/>
    </xf>
    <xf numFmtId="2" fontId="9" fillId="0" borderId="2" xfId="0" applyNumberFormat="1" applyFont="1" applyBorder="1" applyAlignment="1">
      <alignment horizontal="center"/>
    </xf>
    <xf numFmtId="2" fontId="0" fillId="0" borderId="0" xfId="0" applyNumberFormat="1"/>
    <xf numFmtId="16" fontId="0" fillId="0" borderId="0" xfId="0" quotePrefix="1" applyNumberFormat="1" applyAlignment="1">
      <alignment horizontal="left" indent="1"/>
    </xf>
    <xf numFmtId="0" fontId="9" fillId="0" borderId="0" xfId="0" applyFont="1" applyAlignment="1">
      <alignment horizontal="center" vertical="top"/>
    </xf>
    <xf numFmtId="0" fontId="10" fillId="0" borderId="0" xfId="0" applyFont="1" applyAlignment="1">
      <alignment horizontal="center" vertical="top"/>
    </xf>
    <xf numFmtId="0" fontId="10" fillId="0" borderId="2" xfId="0" applyFont="1" applyBorder="1" applyAlignment="1">
      <alignment horizontal="center" vertical="top"/>
    </xf>
    <xf numFmtId="0" fontId="9" fillId="0" borderId="0" xfId="0" applyFont="1"/>
    <xf numFmtId="164" fontId="0" fillId="0" borderId="0" xfId="0" applyNumberFormat="1"/>
    <xf numFmtId="0" fontId="8" fillId="0" borderId="0" xfId="0" applyFont="1"/>
    <xf numFmtId="0" fontId="4" fillId="0" borderId="2" xfId="0" applyFont="1" applyBorder="1" applyAlignment="1">
      <alignment horizontal="left" wrapText="1"/>
    </xf>
    <xf numFmtId="3" fontId="9" fillId="0" borderId="0" xfId="0" applyNumberFormat="1" applyFont="1"/>
    <xf numFmtId="3" fontId="0" fillId="0" borderId="0" xfId="0" applyNumberFormat="1"/>
    <xf numFmtId="0" fontId="0" fillId="0" borderId="2" xfId="0" applyBorder="1"/>
    <xf numFmtId="0" fontId="0" fillId="0" borderId="0" xfId="0" applyAlignment="1">
      <alignment horizontal="center"/>
    </xf>
    <xf numFmtId="0" fontId="8" fillId="0" borderId="2" xfId="0" applyFont="1" applyBorder="1"/>
    <xf numFmtId="166" fontId="0" fillId="0" borderId="0" xfId="0" applyNumberFormat="1" applyAlignment="1">
      <alignment horizontal="center"/>
    </xf>
    <xf numFmtId="0" fontId="0" fillId="0" borderId="1" xfId="0" applyBorder="1"/>
    <xf numFmtId="0" fontId="8" fillId="0" borderId="1" xfId="0" applyFont="1" applyBorder="1"/>
    <xf numFmtId="0" fontId="9" fillId="0" borderId="0" xfId="0" applyFont="1" applyAlignment="1">
      <alignment horizontal="center"/>
    </xf>
    <xf numFmtId="1" fontId="9" fillId="0" borderId="0" xfId="0" applyNumberFormat="1" applyFont="1"/>
    <xf numFmtId="1" fontId="0" fillId="0" borderId="0" xfId="0" applyNumberFormat="1"/>
    <xf numFmtId="0" fontId="0" fillId="2" borderId="0" xfId="0" applyFill="1" applyAlignment="1">
      <alignment vertical="top"/>
    </xf>
    <xf numFmtId="164" fontId="0" fillId="0" borderId="0" xfId="0" applyNumberFormat="1" applyAlignment="1">
      <alignment horizontal="center" vertical="top"/>
    </xf>
    <xf numFmtId="2" fontId="0" fillId="2" borderId="0" xfId="0" applyNumberFormat="1" applyFill="1" applyAlignment="1">
      <alignment horizontal="center" vertical="top"/>
    </xf>
    <xf numFmtId="0" fontId="2" fillId="2" borderId="0" xfId="0" applyFont="1" applyFill="1" applyAlignment="1">
      <alignment horizontal="left" vertical="top"/>
    </xf>
    <xf numFmtId="0" fontId="4" fillId="0" borderId="0" xfId="0" applyFont="1" applyAlignment="1">
      <alignment horizontal="left" vertical="top"/>
    </xf>
    <xf numFmtId="3" fontId="2" fillId="0" borderId="0" xfId="0" applyNumberFormat="1" applyFont="1" applyAlignment="1">
      <alignment horizontal="right" vertical="top"/>
    </xf>
    <xf numFmtId="0" fontId="2" fillId="0" borderId="0" xfId="0" applyFont="1" applyAlignment="1">
      <alignment horizontal="right" vertical="top"/>
    </xf>
    <xf numFmtId="0" fontId="4" fillId="0" borderId="0" xfId="0" applyFont="1" applyAlignment="1">
      <alignment horizontal="left" vertical="top" wrapText="1"/>
    </xf>
    <xf numFmtId="0" fontId="11" fillId="0" borderId="0" xfId="0" applyFont="1"/>
    <xf numFmtId="2" fontId="9" fillId="0" borderId="0" xfId="0" applyNumberFormat="1" applyFont="1" applyAlignment="1">
      <alignment horizontal="center" vertical="top"/>
    </xf>
    <xf numFmtId="2" fontId="2" fillId="0" borderId="0" xfId="0" applyNumberFormat="1" applyFont="1" applyAlignment="1">
      <alignment horizontal="center" vertical="top"/>
    </xf>
    <xf numFmtId="2" fontId="2" fillId="2" borderId="0" xfId="0" applyNumberFormat="1" applyFont="1" applyFill="1" applyAlignment="1">
      <alignment horizontal="center" vertical="top"/>
    </xf>
    <xf numFmtId="0" fontId="2" fillId="2" borderId="0" xfId="0" applyFont="1" applyFill="1" applyAlignment="1">
      <alignment vertical="top"/>
    </xf>
    <xf numFmtId="3" fontId="2" fillId="0" borderId="0" xfId="0" applyNumberFormat="1" applyFont="1"/>
    <xf numFmtId="0" fontId="2" fillId="0" borderId="0" xfId="0" applyFont="1"/>
    <xf numFmtId="3" fontId="2" fillId="0" borderId="2" xfId="0" applyNumberFormat="1" applyFont="1" applyBorder="1"/>
    <xf numFmtId="3" fontId="0" fillId="0" borderId="0" xfId="0" applyNumberFormat="1" applyAlignment="1">
      <alignment horizontal="center" vertical="top" wrapText="1"/>
    </xf>
    <xf numFmtId="3" fontId="0" fillId="0" borderId="0" xfId="0" applyNumberFormat="1" applyAlignment="1">
      <alignment vertical="top" wrapText="1"/>
    </xf>
    <xf numFmtId="2" fontId="0" fillId="0" borderId="0" xfId="0" applyNumberFormat="1" applyAlignment="1">
      <alignment horizontal="center" vertical="top"/>
    </xf>
    <xf numFmtId="164" fontId="2" fillId="0" borderId="0" xfId="0" applyNumberFormat="1" applyFont="1" applyAlignment="1">
      <alignment horizontal="center" vertical="top"/>
    </xf>
    <xf numFmtId="3" fontId="9" fillId="0" borderId="0" xfId="0" applyNumberFormat="1" applyFont="1" applyAlignment="1">
      <alignment horizontal="center" vertical="top" wrapText="1"/>
    </xf>
    <xf numFmtId="1" fontId="0" fillId="0" borderId="2" xfId="0" applyNumberFormat="1" applyBorder="1"/>
    <xf numFmtId="2" fontId="0" fillId="0" borderId="2" xfId="0" applyNumberFormat="1" applyBorder="1" applyAlignment="1">
      <alignment horizontal="center"/>
    </xf>
    <xf numFmtId="2" fontId="2" fillId="0" borderId="2" xfId="0" applyNumberFormat="1" applyFont="1" applyBorder="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xf>
    <xf numFmtId="167" fontId="0" fillId="0" borderId="2" xfId="0" applyNumberFormat="1" applyBorder="1" applyAlignment="1">
      <alignment horizontal="center"/>
    </xf>
    <xf numFmtId="167" fontId="9" fillId="0" borderId="0" xfId="0" applyNumberFormat="1" applyFont="1" applyAlignment="1">
      <alignment horizontal="center"/>
    </xf>
    <xf numFmtId="3" fontId="12" fillId="0" borderId="0" xfId="0" applyNumberFormat="1" applyFont="1"/>
    <xf numFmtId="0" fontId="9" fillId="0" borderId="2" xfId="0" applyFont="1" applyBorder="1" applyAlignment="1">
      <alignment horizontal="center" vertical="top"/>
    </xf>
    <xf numFmtId="0" fontId="4" fillId="0" borderId="1" xfId="0" applyFont="1" applyBorder="1" applyAlignment="1">
      <alignment horizontal="center"/>
    </xf>
    <xf numFmtId="0" fontId="2" fillId="0" borderId="1" xfId="0" applyFont="1" applyBorder="1" applyAlignment="1">
      <alignment horizontal="left" wrapText="1"/>
    </xf>
    <xf numFmtId="0" fontId="8" fillId="0" borderId="1" xfId="0" applyFont="1" applyBorder="1" applyAlignment="1">
      <alignment horizontal="center"/>
    </xf>
    <xf numFmtId="0" fontId="2" fillId="0" borderId="0" xfId="0" applyFont="1" applyAlignment="1">
      <alignment horizontal="left" wrapText="1"/>
    </xf>
    <xf numFmtId="0" fontId="8" fillId="0" borderId="2" xfId="0" applyFont="1" applyBorder="1" applyAlignment="1">
      <alignment horizontal="left" wrapText="1"/>
    </xf>
    <xf numFmtId="0" fontId="8" fillId="0" borderId="1" xfId="0" applyFont="1" applyBorder="1" applyAlignment="1">
      <alignment horizontal="center" wrapText="1"/>
    </xf>
    <xf numFmtId="0" fontId="8" fillId="0" borderId="2" xfId="0" applyFont="1" applyBorder="1" applyAlignment="1">
      <alignment horizontal="center" wrapText="1"/>
    </xf>
    <xf numFmtId="0" fontId="9" fillId="0" borderId="0" xfId="0" applyFont="1" applyAlignment="1">
      <alignment horizontal="left" vertical="top" wrapText="1"/>
    </xf>
    <xf numFmtId="2" fontId="2" fillId="0" borderId="0" xfId="0" applyNumberFormat="1" applyFont="1" applyAlignment="1">
      <alignment horizontal="center" vertical="top" wrapText="1"/>
    </xf>
    <xf numFmtId="2" fontId="9" fillId="0" borderId="0" xfId="0" applyNumberFormat="1" applyFont="1" applyAlignment="1">
      <alignment horizontal="center" vertical="top" wrapText="1"/>
    </xf>
    <xf numFmtId="0" fontId="9"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0" fillId="0" borderId="0" xfId="0" applyAlignment="1">
      <alignment horizontal="left" vertical="top" wrapText="1"/>
    </xf>
    <xf numFmtId="2" fontId="0" fillId="0" borderId="0" xfId="0" applyNumberFormat="1" applyAlignment="1">
      <alignment horizontal="center" vertical="top" wrapText="1"/>
    </xf>
    <xf numFmtId="164" fontId="0" fillId="0" borderId="0" xfId="0" applyNumberFormat="1" applyAlignment="1">
      <alignment horizontal="center"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12</xdr:col>
      <xdr:colOff>46567</xdr:colOff>
      <xdr:row>7</xdr:row>
      <xdr:rowOff>11006</xdr:rowOff>
    </xdr:from>
    <xdr:to>
      <xdr:col>15</xdr:col>
      <xdr:colOff>240947</xdr:colOff>
      <xdr:row>18</xdr:row>
      <xdr:rowOff>5291</xdr:rowOff>
    </xdr:to>
    <xdr:sp macro="" textlink="">
      <xdr:nvSpPr>
        <xdr:cNvPr id="2" name="TextBox 1">
          <a:extLst>
            <a:ext uri="{FF2B5EF4-FFF2-40B4-BE49-F238E27FC236}">
              <a16:creationId xmlns:a16="http://schemas.microsoft.com/office/drawing/2014/main" id="{33C772FF-3F17-4514-BC2A-1FD491810518}"/>
            </a:ext>
          </a:extLst>
        </xdr:cNvPr>
        <xdr:cNvSpPr txBox="1"/>
      </xdr:nvSpPr>
      <xdr:spPr>
        <a:xfrm>
          <a:off x="8470900" y="1436228"/>
          <a:ext cx="2226380" cy="19133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Enter null, weak,</a:t>
          </a:r>
          <a:r>
            <a:rPr lang="en-US" sz="1100" baseline="0"/>
            <a:t> moderate, or strong in the Association column. </a:t>
          </a:r>
          <a:r>
            <a:rPr lang="en-US" sz="1100"/>
            <a:t>Do not enter your description of the association on every line for each exposure.  Just enter your overall assessment in </a:t>
          </a:r>
          <a:r>
            <a:rPr lang="en-US" sz="1100" baseline="0"/>
            <a:t>the first row for the covariate (e.g. the row labeled "Maternal Race/Ethnicity").</a:t>
          </a:r>
          <a:endParaRPr lang="en-US" sz="1100"/>
        </a:p>
      </xdr:txBody>
    </xdr:sp>
    <xdr:clientData/>
  </xdr:twoCellAnchor>
  <xdr:twoCellAnchor>
    <xdr:from>
      <xdr:col>15</xdr:col>
      <xdr:colOff>313620</xdr:colOff>
      <xdr:row>7</xdr:row>
      <xdr:rowOff>29704</xdr:rowOff>
    </xdr:from>
    <xdr:to>
      <xdr:col>18</xdr:col>
      <xdr:colOff>408870</xdr:colOff>
      <xdr:row>13</xdr:row>
      <xdr:rowOff>164748</xdr:rowOff>
    </xdr:to>
    <xdr:sp macro="" textlink="">
      <xdr:nvSpPr>
        <xdr:cNvPr id="3" name="TextBox 2">
          <a:extLst>
            <a:ext uri="{FF2B5EF4-FFF2-40B4-BE49-F238E27FC236}">
              <a16:creationId xmlns:a16="http://schemas.microsoft.com/office/drawing/2014/main" id="{28E090DD-789C-457F-AB10-BC83B845EB68}"/>
            </a:ext>
          </a:extLst>
        </xdr:cNvPr>
        <xdr:cNvSpPr txBox="1"/>
      </xdr:nvSpPr>
      <xdr:spPr>
        <a:xfrm>
          <a:off x="10769953" y="1454926"/>
          <a:ext cx="2127250" cy="11792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Enter include</a:t>
          </a:r>
          <a:r>
            <a:rPr lang="en-US" sz="1100" baseline="0"/>
            <a:t> or exclude in the conclusions column for each covariate in the cell adjacent to where you entered the strength of the association.</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zoomScale="90" zoomScaleNormal="90" workbookViewId="0">
      <selection activeCell="O24" sqref="O24"/>
    </sheetView>
  </sheetViews>
  <sheetFormatPr baseColWidth="10" defaultColWidth="8.83203125" defaultRowHeight="13"/>
  <cols>
    <col min="1" max="1" width="29.1640625" bestFit="1" customWidth="1"/>
    <col min="2" max="2" width="4.5" bestFit="1" customWidth="1"/>
    <col min="3" max="3" width="6.6640625" bestFit="1" customWidth="1"/>
    <col min="4" max="4" width="6.5" bestFit="1" customWidth="1"/>
    <col min="5" max="5" width="6.33203125" bestFit="1" customWidth="1"/>
    <col min="6" max="6" width="11.33203125" bestFit="1" customWidth="1"/>
    <col min="7" max="7" width="4.5" bestFit="1" customWidth="1"/>
    <col min="8" max="8" width="6.6640625" bestFit="1" customWidth="1"/>
    <col min="9" max="9" width="6.5" bestFit="1" customWidth="1"/>
    <col min="10" max="10" width="6.33203125" bestFit="1" customWidth="1"/>
    <col min="11" max="11" width="11.33203125" bestFit="1" customWidth="1"/>
    <col min="12" max="12" width="11" bestFit="1" customWidth="1"/>
  </cols>
  <sheetData>
    <row r="1" spans="1:16">
      <c r="A1" s="22" t="s">
        <v>67</v>
      </c>
    </row>
    <row r="2" spans="1:16" ht="15">
      <c r="A2" s="1"/>
      <c r="B2" s="65" t="s">
        <v>30</v>
      </c>
      <c r="C2" s="65"/>
      <c r="D2" s="65"/>
      <c r="E2" s="65"/>
      <c r="F2" s="65"/>
      <c r="G2" s="65" t="s">
        <v>14</v>
      </c>
      <c r="H2" s="65"/>
      <c r="I2" s="65"/>
      <c r="J2" s="65"/>
      <c r="K2" s="65"/>
      <c r="L2" s="2"/>
    </row>
    <row r="3" spans="1:16" ht="28">
      <c r="A3" s="3" t="s">
        <v>8</v>
      </c>
      <c r="B3" s="4" t="s">
        <v>0</v>
      </c>
      <c r="C3" s="3" t="s">
        <v>9</v>
      </c>
      <c r="D3" s="3" t="s">
        <v>10</v>
      </c>
      <c r="E3" s="4" t="s">
        <v>11</v>
      </c>
      <c r="F3" s="4" t="s">
        <v>12</v>
      </c>
      <c r="G3" s="4" t="s">
        <v>15</v>
      </c>
      <c r="H3" s="3" t="s">
        <v>9</v>
      </c>
      <c r="I3" s="3" t="s">
        <v>10</v>
      </c>
      <c r="J3" s="4" t="s">
        <v>11</v>
      </c>
      <c r="K3" s="4" t="s">
        <v>12</v>
      </c>
      <c r="L3" s="4" t="s">
        <v>13</v>
      </c>
    </row>
    <row r="4" spans="1:16">
      <c r="A4" t="s">
        <v>16</v>
      </c>
      <c r="B4" s="5"/>
      <c r="C4" s="6"/>
      <c r="D4" s="6"/>
      <c r="E4" s="5"/>
      <c r="F4" s="18" t="s">
        <v>72</v>
      </c>
      <c r="G4" s="5"/>
      <c r="H4" s="6"/>
      <c r="I4" s="6"/>
      <c r="J4" s="5"/>
      <c r="K4" s="18" t="s">
        <v>72</v>
      </c>
      <c r="L4" s="18" t="s">
        <v>77</v>
      </c>
    </row>
    <row r="5" spans="1:16" ht="15">
      <c r="A5" s="9" t="s">
        <v>17</v>
      </c>
      <c r="B5" s="11">
        <v>1</v>
      </c>
      <c r="C5" s="12"/>
      <c r="D5" s="12"/>
      <c r="E5" s="7"/>
      <c r="F5" s="17"/>
      <c r="G5" s="11">
        <v>1</v>
      </c>
      <c r="H5" s="11"/>
      <c r="I5" s="11"/>
      <c r="J5" s="7"/>
      <c r="K5" s="17"/>
      <c r="L5" s="17"/>
    </row>
    <row r="6" spans="1:16">
      <c r="A6" s="9" t="s">
        <v>18</v>
      </c>
      <c r="B6" s="12">
        <v>0.39739999999999998</v>
      </c>
      <c r="C6" s="12">
        <v>0.37380000000000002</v>
      </c>
      <c r="D6" s="12">
        <v>0.42259999999999998</v>
      </c>
      <c r="E6" s="12">
        <f>D6/C6</f>
        <v>1.1305510968432315</v>
      </c>
      <c r="F6" s="17" t="s">
        <v>76</v>
      </c>
      <c r="G6" s="12">
        <v>1.61</v>
      </c>
      <c r="H6" s="12">
        <v>1.52</v>
      </c>
      <c r="I6" s="12">
        <v>1.72</v>
      </c>
      <c r="J6" s="12">
        <f>I6/H6</f>
        <v>1.131578947368421</v>
      </c>
      <c r="K6" s="17" t="s">
        <v>75</v>
      </c>
      <c r="L6" s="17"/>
      <c r="N6" s="15"/>
      <c r="O6" s="15"/>
      <c r="P6" s="15"/>
    </row>
    <row r="7" spans="1:16">
      <c r="A7" s="9" t="s">
        <v>19</v>
      </c>
      <c r="B7" s="12">
        <v>0.32369999999999999</v>
      </c>
      <c r="C7" s="12">
        <v>0.25590000000000002</v>
      </c>
      <c r="D7" s="12">
        <v>0.40939999999999999</v>
      </c>
      <c r="E7" s="12">
        <f t="shared" ref="E7:E11" si="0">D7/C7</f>
        <v>1.5998436889409924</v>
      </c>
      <c r="F7" s="17" t="s">
        <v>76</v>
      </c>
      <c r="G7" s="12">
        <v>1.5183</v>
      </c>
      <c r="H7" s="12">
        <v>1.1735</v>
      </c>
      <c r="I7" s="12">
        <v>1.9643999999999999</v>
      </c>
      <c r="J7" s="12">
        <f t="shared" ref="J7:J11" si="1">I7/H7</f>
        <v>1.6739667660843629</v>
      </c>
      <c r="K7" s="17" t="s">
        <v>75</v>
      </c>
      <c r="L7" s="17"/>
      <c r="N7" s="15"/>
      <c r="O7" s="15"/>
      <c r="P7" s="15"/>
    </row>
    <row r="8" spans="1:16">
      <c r="A8" s="9" t="s">
        <v>20</v>
      </c>
      <c r="B8" s="12">
        <v>0.90810000000000002</v>
      </c>
      <c r="C8" s="12">
        <v>0.7893</v>
      </c>
      <c r="D8" s="12">
        <v>1.0448</v>
      </c>
      <c r="E8" s="12">
        <f t="shared" si="0"/>
        <v>1.3237045483339667</v>
      </c>
      <c r="F8" s="17" t="s">
        <v>74</v>
      </c>
      <c r="G8" s="12">
        <v>0.95179999999999998</v>
      </c>
      <c r="H8" s="12">
        <v>0.81979999999999997</v>
      </c>
      <c r="I8" s="12">
        <v>1.1052</v>
      </c>
      <c r="J8" s="12">
        <f t="shared" si="1"/>
        <v>1.3481336911441815</v>
      </c>
      <c r="K8" s="17" t="s">
        <v>74</v>
      </c>
      <c r="L8" s="17"/>
      <c r="N8" s="15"/>
      <c r="O8" s="15"/>
      <c r="P8" s="15"/>
    </row>
    <row r="9" spans="1:16">
      <c r="A9" s="9" t="s">
        <v>21</v>
      </c>
      <c r="B9" s="12">
        <v>0.21840000000000001</v>
      </c>
      <c r="C9" s="12">
        <v>0.13020000000000001</v>
      </c>
      <c r="D9" s="12">
        <v>0.3664</v>
      </c>
      <c r="E9" s="12">
        <f t="shared" si="0"/>
        <v>2.8141321044546848</v>
      </c>
      <c r="F9" s="17" t="s">
        <v>76</v>
      </c>
      <c r="G9" s="12">
        <v>1.0081</v>
      </c>
      <c r="H9" s="12">
        <v>0.47160000000000002</v>
      </c>
      <c r="I9" s="12">
        <v>2.1553</v>
      </c>
      <c r="J9" s="12">
        <f t="shared" si="1"/>
        <v>4.570186598812553</v>
      </c>
      <c r="K9" s="17" t="s">
        <v>78</v>
      </c>
      <c r="L9" s="17"/>
      <c r="N9" s="15"/>
      <c r="O9" s="15"/>
      <c r="P9" s="15"/>
    </row>
    <row r="10" spans="1:16">
      <c r="A10" s="9" t="s">
        <v>22</v>
      </c>
      <c r="B10" s="12">
        <v>0.39679999999999999</v>
      </c>
      <c r="C10" s="12">
        <v>0.37730000000000002</v>
      </c>
      <c r="D10" s="12">
        <v>0.4173</v>
      </c>
      <c r="E10" s="12">
        <f t="shared" si="0"/>
        <v>1.1060164325470447</v>
      </c>
      <c r="F10" s="17" t="s">
        <v>76</v>
      </c>
      <c r="G10" s="12">
        <v>1.22</v>
      </c>
      <c r="H10" s="12">
        <v>1.1499999999999999</v>
      </c>
      <c r="I10" s="12">
        <v>1.29</v>
      </c>
      <c r="J10" s="12">
        <f t="shared" si="1"/>
        <v>1.1217391304347828</v>
      </c>
      <c r="K10" s="17" t="s">
        <v>74</v>
      </c>
      <c r="L10" s="17"/>
      <c r="N10" s="15"/>
      <c r="O10" s="15"/>
      <c r="P10" s="15"/>
    </row>
    <row r="11" spans="1:16">
      <c r="A11" s="9" t="s">
        <v>1</v>
      </c>
      <c r="B11" s="12">
        <v>0.67190000000000005</v>
      </c>
      <c r="C11" s="12">
        <v>0.54479999999999995</v>
      </c>
      <c r="D11" s="12">
        <v>0.8286</v>
      </c>
      <c r="E11" s="12">
        <f t="shared" si="0"/>
        <v>1.5209251101321588</v>
      </c>
      <c r="F11" s="17" t="s">
        <v>72</v>
      </c>
      <c r="G11" s="12">
        <v>1.3836999999999999</v>
      </c>
      <c r="H11" s="12">
        <v>1.1314</v>
      </c>
      <c r="I11" s="12">
        <v>1.6923999999999999</v>
      </c>
      <c r="J11" s="12">
        <f t="shared" si="1"/>
        <v>1.4958458546933002</v>
      </c>
      <c r="K11" s="17" t="s">
        <v>74</v>
      </c>
      <c r="L11" s="17"/>
      <c r="N11" s="15"/>
      <c r="O11" s="15"/>
      <c r="P11" s="15"/>
    </row>
    <row r="12" spans="1:16">
      <c r="A12" t="s">
        <v>23</v>
      </c>
      <c r="B12" s="8"/>
      <c r="C12" s="8"/>
      <c r="D12" s="8"/>
      <c r="E12" s="8"/>
      <c r="F12" s="18" t="s">
        <v>73</v>
      </c>
      <c r="G12" s="8"/>
      <c r="H12" s="8"/>
      <c r="I12" s="8"/>
      <c r="J12" s="8"/>
      <c r="K12" s="18" t="s">
        <v>73</v>
      </c>
      <c r="L12" s="18" t="s">
        <v>77</v>
      </c>
      <c r="N12" s="15"/>
      <c r="O12" s="15"/>
      <c r="P12" s="15"/>
    </row>
    <row r="13" spans="1:16" ht="15">
      <c r="A13" s="9" t="s">
        <v>24</v>
      </c>
      <c r="B13" s="11">
        <v>1</v>
      </c>
      <c r="C13" s="11"/>
      <c r="D13" s="12"/>
      <c r="E13" s="12"/>
      <c r="G13" s="11">
        <v>1</v>
      </c>
      <c r="H13" s="11"/>
      <c r="I13" s="11"/>
      <c r="J13" s="12"/>
      <c r="K13" s="18"/>
      <c r="L13" s="17"/>
      <c r="N13" s="15"/>
      <c r="O13" s="15"/>
      <c r="P13" s="15"/>
    </row>
    <row r="14" spans="1:16">
      <c r="A14" s="9" t="s">
        <v>25</v>
      </c>
      <c r="B14" s="12">
        <v>0.69640000000000002</v>
      </c>
      <c r="C14" s="12">
        <v>0.65300000000000002</v>
      </c>
      <c r="D14" s="12">
        <v>0.74280000000000002</v>
      </c>
      <c r="E14" s="12">
        <f>D14/C14</f>
        <v>1.1375191424196018</v>
      </c>
      <c r="F14" s="18"/>
      <c r="G14" s="12">
        <v>1.2524479547253058</v>
      </c>
      <c r="H14" s="12">
        <v>1.1689524431366427</v>
      </c>
      <c r="I14" s="12">
        <v>1.3419073534647123</v>
      </c>
      <c r="J14" s="12">
        <f>I14/H14</f>
        <v>1.1479571828123143</v>
      </c>
      <c r="K14" s="18"/>
      <c r="L14" s="17"/>
      <c r="N14" s="15"/>
      <c r="O14" s="15"/>
      <c r="P14" s="15"/>
    </row>
    <row r="15" spans="1:16">
      <c r="A15" t="s">
        <v>26</v>
      </c>
      <c r="B15" s="8"/>
      <c r="C15" s="8"/>
      <c r="D15" s="8"/>
      <c r="E15" s="12"/>
      <c r="F15" s="18" t="s">
        <v>72</v>
      </c>
      <c r="G15" s="8"/>
      <c r="H15" s="8"/>
      <c r="I15" s="8"/>
      <c r="J15" s="12"/>
      <c r="K15" s="18" t="s">
        <v>72</v>
      </c>
      <c r="L15" s="18" t="s">
        <v>77</v>
      </c>
      <c r="N15" s="15"/>
      <c r="O15" s="15"/>
      <c r="P15" s="15"/>
    </row>
    <row r="16" spans="1:16" ht="15">
      <c r="A16" s="9" t="s">
        <v>29</v>
      </c>
      <c r="B16" s="11">
        <v>1</v>
      </c>
      <c r="C16" s="7"/>
      <c r="D16" s="7"/>
      <c r="E16" s="12"/>
      <c r="F16" s="17"/>
      <c r="G16" s="11">
        <v>1</v>
      </c>
      <c r="H16" s="7"/>
      <c r="I16" s="7"/>
      <c r="J16" s="12"/>
      <c r="K16" s="17"/>
      <c r="L16" s="17"/>
      <c r="N16" s="15"/>
      <c r="O16" s="15"/>
      <c r="P16" s="15"/>
    </row>
    <row r="17" spans="1:16">
      <c r="A17" s="16" t="s">
        <v>3</v>
      </c>
      <c r="B17" s="12">
        <v>0.17847620356692823</v>
      </c>
      <c r="C17" s="12">
        <v>0.11958498366365081</v>
      </c>
      <c r="D17" s="12">
        <v>0.26636919004192589</v>
      </c>
      <c r="E17" s="12">
        <f>D17/C17</f>
        <v>2.2274468071269369</v>
      </c>
      <c r="F17" s="12" t="s">
        <v>76</v>
      </c>
      <c r="G17" s="12">
        <v>2.0106000000000002</v>
      </c>
      <c r="H17" s="12">
        <v>1.3569</v>
      </c>
      <c r="I17" s="12">
        <v>2.9792000000000001</v>
      </c>
      <c r="J17" s="12">
        <f>I17/H17</f>
        <v>2.1955928955707864</v>
      </c>
      <c r="K17" s="17" t="s">
        <v>76</v>
      </c>
      <c r="L17" s="18"/>
      <c r="N17" s="15"/>
      <c r="O17" s="15"/>
      <c r="P17" s="15"/>
    </row>
    <row r="18" spans="1:16">
      <c r="A18" s="9" t="s">
        <v>4</v>
      </c>
      <c r="B18" s="12">
        <v>0.39851904108451414</v>
      </c>
      <c r="C18" s="12">
        <v>0.37165993352364673</v>
      </c>
      <c r="D18" s="12">
        <v>0.42731920172615534</v>
      </c>
      <c r="E18" s="12">
        <f t="shared" ref="E18:E22" si="2">D18/C18</f>
        <v>1.1497585916103794</v>
      </c>
      <c r="F18" s="12" t="s">
        <v>76</v>
      </c>
      <c r="G18" s="12">
        <v>1.4407000000000001</v>
      </c>
      <c r="H18" s="12">
        <v>1.3347</v>
      </c>
      <c r="I18" s="12">
        <v>1.5550999999999999</v>
      </c>
      <c r="J18" s="12">
        <f t="shared" ref="J18:J23" si="3">I18/H18</f>
        <v>1.1651307409904847</v>
      </c>
      <c r="K18" s="17" t="s">
        <v>74</v>
      </c>
      <c r="L18" s="18"/>
      <c r="N18" s="15"/>
      <c r="O18" s="15"/>
      <c r="P18" s="15"/>
    </row>
    <row r="19" spans="1:16">
      <c r="A19" s="9" t="s">
        <v>5</v>
      </c>
      <c r="B19" s="12">
        <v>0.58678311959897334</v>
      </c>
      <c r="C19" s="12">
        <v>0.55392609702783346</v>
      </c>
      <c r="D19" s="12">
        <v>0.62158910961907987</v>
      </c>
      <c r="E19" s="12">
        <f t="shared" si="2"/>
        <v>1.1221516966871603</v>
      </c>
      <c r="F19" s="12" t="s">
        <v>72</v>
      </c>
      <c r="G19" s="12">
        <v>1.1133</v>
      </c>
      <c r="H19" s="12">
        <v>1.0439000000000001</v>
      </c>
      <c r="I19" s="12">
        <v>1.1874</v>
      </c>
      <c r="J19" s="12">
        <f t="shared" si="3"/>
        <v>1.1374652744515759</v>
      </c>
      <c r="K19" s="17" t="s">
        <v>74</v>
      </c>
      <c r="L19" s="18"/>
      <c r="N19" s="15"/>
      <c r="O19" s="15"/>
      <c r="P19" s="15"/>
    </row>
    <row r="20" spans="1:16">
      <c r="A20" s="9" t="s">
        <v>6</v>
      </c>
      <c r="B20" s="12">
        <v>1.4042452923574948</v>
      </c>
      <c r="C20" s="12">
        <v>1.3075511020774055</v>
      </c>
      <c r="D20" s="12">
        <v>1.5080900761547837</v>
      </c>
      <c r="E20" s="12">
        <f t="shared" si="2"/>
        <v>1.1533698941163881</v>
      </c>
      <c r="F20" s="12" t="s">
        <v>74</v>
      </c>
      <c r="G20" s="12">
        <v>1.0201</v>
      </c>
      <c r="H20" s="12">
        <v>0.95079999999999998</v>
      </c>
      <c r="I20" s="12">
        <v>1.0944</v>
      </c>
      <c r="J20" s="12">
        <f t="shared" si="3"/>
        <v>1.1510307109802271</v>
      </c>
      <c r="K20" s="32" t="s">
        <v>78</v>
      </c>
      <c r="L20" s="20"/>
      <c r="N20" s="15"/>
      <c r="O20" s="15"/>
      <c r="P20" s="15"/>
    </row>
    <row r="21" spans="1:16">
      <c r="A21" s="9" t="s">
        <v>7</v>
      </c>
      <c r="B21" s="12">
        <v>1.3322909777162273</v>
      </c>
      <c r="C21" s="12">
        <v>1.218382305794087</v>
      </c>
      <c r="D21" s="12">
        <v>1.4568491686582692</v>
      </c>
      <c r="E21" s="12">
        <f t="shared" si="2"/>
        <v>1.1957241678003196</v>
      </c>
      <c r="F21" s="17" t="s">
        <v>74</v>
      </c>
      <c r="G21" s="12">
        <v>1.0976999999999999</v>
      </c>
      <c r="H21" s="12">
        <v>1.0081</v>
      </c>
      <c r="I21" s="12">
        <v>1.1953</v>
      </c>
      <c r="J21" s="12">
        <f t="shared" si="3"/>
        <v>1.1856958635056047</v>
      </c>
      <c r="K21" s="17" t="s">
        <v>74</v>
      </c>
      <c r="L21" s="18"/>
      <c r="N21" s="15"/>
      <c r="O21" s="15"/>
      <c r="P21" s="15"/>
    </row>
    <row r="22" spans="1:16">
      <c r="A22" s="9" t="s">
        <v>27</v>
      </c>
      <c r="B22" s="12">
        <v>0.91092018324565915</v>
      </c>
      <c r="C22" s="12">
        <v>0.77872290688697188</v>
      </c>
      <c r="D22" s="12">
        <v>1.0655594858014668</v>
      </c>
      <c r="E22" s="12">
        <f t="shared" si="2"/>
        <v>1.3683422901493354</v>
      </c>
      <c r="F22" s="17" t="s">
        <v>74</v>
      </c>
      <c r="G22" s="12">
        <v>1.3851</v>
      </c>
      <c r="H22" s="12">
        <v>1.1973</v>
      </c>
      <c r="I22" s="12">
        <v>1.6022000000000001</v>
      </c>
      <c r="J22" s="12">
        <f t="shared" si="3"/>
        <v>1.3381775661905955</v>
      </c>
      <c r="K22" s="17" t="s">
        <v>74</v>
      </c>
      <c r="L22" s="18"/>
    </row>
    <row r="23" spans="1:16">
      <c r="A23" s="10" t="s">
        <v>28</v>
      </c>
      <c r="B23" s="14">
        <v>0.68324621082486503</v>
      </c>
      <c r="C23" s="14">
        <v>0.36085754886749088</v>
      </c>
      <c r="D23" s="14">
        <v>1.2936555881167309</v>
      </c>
      <c r="E23" s="12">
        <f>D23/C23</f>
        <v>3.5849481109005956</v>
      </c>
      <c r="F23" s="64" t="s">
        <v>74</v>
      </c>
      <c r="G23" s="12">
        <v>2.2240000000000002</v>
      </c>
      <c r="H23" s="12">
        <v>1.3764000000000001</v>
      </c>
      <c r="I23" s="12">
        <v>3.5937000000000001</v>
      </c>
      <c r="J23" s="12">
        <f t="shared" si="3"/>
        <v>2.6109415867480381</v>
      </c>
      <c r="K23" s="64" t="s">
        <v>76</v>
      </c>
      <c r="L23" s="19"/>
    </row>
    <row r="24" spans="1:16" ht="12.75" customHeight="1">
      <c r="A24" s="66" t="s">
        <v>31</v>
      </c>
      <c r="B24" s="66"/>
      <c r="C24" s="66"/>
      <c r="D24" s="66"/>
      <c r="E24" s="66"/>
      <c r="F24" s="66"/>
      <c r="G24" s="66"/>
      <c r="H24" s="66"/>
      <c r="I24" s="66"/>
      <c r="J24" s="66"/>
      <c r="K24" s="66"/>
      <c r="L24" s="66"/>
    </row>
    <row r="25" spans="1:16" ht="15">
      <c r="A25" t="s">
        <v>2</v>
      </c>
      <c r="E25" s="13"/>
      <c r="F25" s="13"/>
    </row>
  </sheetData>
  <mergeCells count="3">
    <mergeCell ref="B2:F2"/>
    <mergeCell ref="G2:K2"/>
    <mergeCell ref="A24:L24"/>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opLeftCell="E1" workbookViewId="0">
      <selection activeCell="K15" sqref="K15"/>
    </sheetView>
  </sheetViews>
  <sheetFormatPr baseColWidth="10" defaultColWidth="8.83203125" defaultRowHeight="13"/>
  <cols>
    <col min="1" max="1" width="29.1640625" bestFit="1" customWidth="1"/>
    <col min="2" max="2" width="8.33203125" bestFit="1" customWidth="1"/>
    <col min="3" max="3" width="11.5" bestFit="1" customWidth="1"/>
    <col min="4" max="4" width="14.5" bestFit="1" customWidth="1"/>
    <col min="5" max="5" width="11.5" bestFit="1" customWidth="1"/>
    <col min="6" max="6" width="14.5" bestFit="1" customWidth="1"/>
    <col min="7" max="7" width="13.1640625" customWidth="1"/>
    <col min="8" max="8" width="10" bestFit="1" customWidth="1"/>
  </cols>
  <sheetData>
    <row r="1" spans="1:8" ht="41.25" customHeight="1">
      <c r="A1" s="69" t="s">
        <v>68</v>
      </c>
      <c r="B1" s="69"/>
      <c r="C1" s="69"/>
      <c r="D1" s="69"/>
      <c r="E1" s="69"/>
      <c r="F1" s="69"/>
      <c r="G1" s="69"/>
      <c r="H1" s="69"/>
    </row>
    <row r="2" spans="1:8">
      <c r="A2" s="30"/>
      <c r="B2" s="31"/>
      <c r="C2" s="67" t="s">
        <v>37</v>
      </c>
      <c r="D2" s="67"/>
      <c r="E2" s="67" t="s">
        <v>35</v>
      </c>
      <c r="F2" s="67"/>
      <c r="G2" s="70" t="s">
        <v>34</v>
      </c>
      <c r="H2" s="31"/>
    </row>
    <row r="3" spans="1:8" ht="15">
      <c r="A3" s="23" t="s">
        <v>8</v>
      </c>
      <c r="B3" s="28" t="s">
        <v>38</v>
      </c>
      <c r="C3" s="28" t="s">
        <v>39</v>
      </c>
      <c r="D3" s="28" t="s">
        <v>32</v>
      </c>
      <c r="E3" s="28" t="s">
        <v>39</v>
      </c>
      <c r="F3" s="28" t="s">
        <v>32</v>
      </c>
      <c r="G3" s="71"/>
      <c r="H3" s="28" t="s">
        <v>40</v>
      </c>
    </row>
    <row r="4" spans="1:8">
      <c r="A4" t="s">
        <v>16</v>
      </c>
      <c r="G4" s="27"/>
      <c r="H4" s="27"/>
    </row>
    <row r="5" spans="1:8" ht="15">
      <c r="A5" s="9" t="s">
        <v>17</v>
      </c>
      <c r="B5" s="24">
        <v>31938</v>
      </c>
      <c r="C5" s="62">
        <v>9.7199999999999995E-2</v>
      </c>
      <c r="D5" s="62">
        <v>0.1128</v>
      </c>
      <c r="E5" s="33">
        <f>B5*C5</f>
        <v>3104.3735999999999</v>
      </c>
      <c r="F5" s="33">
        <f>B5*D5</f>
        <v>3602.6064000000001</v>
      </c>
      <c r="G5" s="32"/>
      <c r="H5" s="27"/>
    </row>
    <row r="6" spans="1:8">
      <c r="A6" s="9" t="s">
        <v>18</v>
      </c>
      <c r="B6" s="24">
        <v>7314</v>
      </c>
      <c r="C6" s="62">
        <v>0.15579999999999999</v>
      </c>
      <c r="D6" s="62">
        <v>0.1719</v>
      </c>
      <c r="E6" s="33">
        <f t="shared" ref="E6:E11" si="0">B6*C6</f>
        <v>1139.5211999999999</v>
      </c>
      <c r="F6" s="33">
        <f t="shared" ref="F6:F11" si="1">B6*D6</f>
        <v>1257.2765999999999</v>
      </c>
      <c r="G6" s="32"/>
      <c r="H6" s="27"/>
    </row>
    <row r="7" spans="1:8">
      <c r="A7" s="9" t="s">
        <v>19</v>
      </c>
      <c r="B7" s="24">
        <v>332</v>
      </c>
      <c r="C7" s="62">
        <v>0.14849999999999999</v>
      </c>
      <c r="D7" s="62">
        <v>0.15529999999999999</v>
      </c>
      <c r="E7" s="33">
        <f t="shared" si="0"/>
        <v>49.302</v>
      </c>
      <c r="F7" s="33">
        <f t="shared" si="1"/>
        <v>51.559599999999996</v>
      </c>
      <c r="G7" s="32"/>
      <c r="H7" s="27"/>
    </row>
    <row r="8" spans="1:8">
      <c r="A8" s="9" t="s">
        <v>20</v>
      </c>
      <c r="B8" s="24">
        <v>1737</v>
      </c>
      <c r="C8" s="62">
        <v>9.35E-2</v>
      </c>
      <c r="D8" s="62">
        <v>0.1</v>
      </c>
      <c r="E8" s="33">
        <f t="shared" si="0"/>
        <v>162.40950000000001</v>
      </c>
      <c r="F8" s="33">
        <f t="shared" si="1"/>
        <v>173.70000000000002</v>
      </c>
      <c r="G8" s="32"/>
      <c r="H8" s="27"/>
    </row>
    <row r="9" spans="1:8">
      <c r="A9" s="9" t="s">
        <v>21</v>
      </c>
      <c r="B9" s="24">
        <v>60</v>
      </c>
      <c r="C9" s="62">
        <v>0.1111</v>
      </c>
      <c r="D9" s="62">
        <v>8.3299999999999999E-2</v>
      </c>
      <c r="E9" s="33">
        <f t="shared" si="0"/>
        <v>6.6660000000000004</v>
      </c>
      <c r="F9" s="33">
        <f t="shared" si="1"/>
        <v>4.9980000000000002</v>
      </c>
      <c r="G9" s="32"/>
      <c r="H9" s="27"/>
    </row>
    <row r="10" spans="1:8">
      <c r="A10" s="9" t="s">
        <v>22</v>
      </c>
      <c r="B10" s="24">
        <v>13512</v>
      </c>
      <c r="C10" s="62">
        <v>0.1196</v>
      </c>
      <c r="D10" s="62">
        <v>0.1241</v>
      </c>
      <c r="E10" s="33">
        <f t="shared" si="0"/>
        <v>1616.0352</v>
      </c>
      <c r="F10" s="33">
        <f t="shared" si="1"/>
        <v>1676.8392000000001</v>
      </c>
      <c r="G10" s="32"/>
      <c r="H10" s="27"/>
    </row>
    <row r="11" spans="1:8">
      <c r="A11" s="9" t="s">
        <v>1</v>
      </c>
      <c r="B11" s="24">
        <v>612</v>
      </c>
      <c r="C11" s="62">
        <v>0.1431</v>
      </c>
      <c r="D11" s="62">
        <v>0.1101</v>
      </c>
      <c r="E11" s="33">
        <f t="shared" si="0"/>
        <v>87.577200000000005</v>
      </c>
      <c r="F11" s="33">
        <f t="shared" si="1"/>
        <v>67.381200000000007</v>
      </c>
      <c r="G11" s="32"/>
      <c r="H11" s="27"/>
    </row>
    <row r="12" spans="1:8">
      <c r="A12" s="9" t="s">
        <v>33</v>
      </c>
      <c r="B12" s="24">
        <v>55505</v>
      </c>
      <c r="C12" s="29" t="s">
        <v>36</v>
      </c>
      <c r="D12" s="29" t="s">
        <v>36</v>
      </c>
      <c r="E12" s="33">
        <f>SUM(E5:E11)</f>
        <v>6165.8846999999996</v>
      </c>
      <c r="F12" s="33">
        <f>SUM(F5:F11)</f>
        <v>6834.360999999999</v>
      </c>
      <c r="G12" s="12">
        <f>E12/F12</f>
        <v>0.90218890983370659</v>
      </c>
      <c r="H12" s="12">
        <f>(0.8521-G12)/(G12) *100</f>
        <v>-5.551931451134676</v>
      </c>
    </row>
    <row r="13" spans="1:8">
      <c r="A13" t="s">
        <v>23</v>
      </c>
      <c r="C13" s="27"/>
      <c r="D13" s="27"/>
      <c r="E13" s="34"/>
      <c r="F13" s="34"/>
      <c r="G13" s="27"/>
      <c r="H13" s="12"/>
    </row>
    <row r="14" spans="1:8" ht="15">
      <c r="A14" s="9" t="s">
        <v>24</v>
      </c>
      <c r="B14" s="48">
        <v>40702</v>
      </c>
      <c r="C14" s="59">
        <v>0.1053</v>
      </c>
      <c r="D14" s="59">
        <v>0.1227</v>
      </c>
      <c r="E14" s="34">
        <v>4285.9206000000004</v>
      </c>
      <c r="F14" s="34">
        <v>4994.1354000000001</v>
      </c>
      <c r="G14" s="27"/>
      <c r="H14" s="12"/>
    </row>
    <row r="15" spans="1:8">
      <c r="A15" s="9" t="s">
        <v>25</v>
      </c>
      <c r="B15" s="48">
        <v>6124</v>
      </c>
      <c r="C15" s="59">
        <v>0.13089999999999999</v>
      </c>
      <c r="D15" s="59">
        <v>0.15140000000000001</v>
      </c>
      <c r="E15" s="34">
        <v>801.63159999999993</v>
      </c>
      <c r="F15" s="34">
        <v>927.17360000000008</v>
      </c>
      <c r="G15" s="27"/>
      <c r="H15" s="12"/>
    </row>
    <row r="16" spans="1:8">
      <c r="A16" s="9" t="s">
        <v>33</v>
      </c>
      <c r="B16" s="48">
        <v>46826</v>
      </c>
      <c r="C16" s="60" t="s">
        <v>36</v>
      </c>
      <c r="D16" s="60" t="s">
        <v>36</v>
      </c>
      <c r="E16" s="34">
        <v>5087.5522000000001</v>
      </c>
      <c r="F16" s="34">
        <v>5921.3090000000002</v>
      </c>
      <c r="G16" s="13">
        <v>0.85919383703839813</v>
      </c>
      <c r="H16" s="11">
        <v>-0.82563872465034172</v>
      </c>
    </row>
    <row r="17" spans="1:8">
      <c r="A17" t="s">
        <v>26</v>
      </c>
      <c r="B17" s="49"/>
      <c r="C17" s="60"/>
      <c r="D17" s="60"/>
      <c r="E17" s="34"/>
      <c r="F17" s="34"/>
      <c r="G17" s="27"/>
      <c r="H17" s="11"/>
    </row>
    <row r="18" spans="1:8" ht="15">
      <c r="A18" s="9" t="s">
        <v>29</v>
      </c>
      <c r="B18" s="48">
        <v>15534</v>
      </c>
      <c r="C18" s="59">
        <v>9.9599999999999994E-2</v>
      </c>
      <c r="D18" s="59">
        <v>0.1186</v>
      </c>
      <c r="E18" s="34">
        <v>1547.1863999999998</v>
      </c>
      <c r="F18" s="34">
        <v>1842.3324</v>
      </c>
      <c r="G18" s="27"/>
      <c r="H18" s="11"/>
    </row>
    <row r="19" spans="1:8">
      <c r="A19" s="16" t="s">
        <v>3</v>
      </c>
      <c r="B19" s="48">
        <v>97</v>
      </c>
      <c r="C19" s="59">
        <v>0.16669999999999999</v>
      </c>
      <c r="D19" s="59">
        <v>0.24490000000000001</v>
      </c>
      <c r="E19" s="34">
        <v>16.169899999999998</v>
      </c>
      <c r="F19" s="34">
        <v>23.755300000000002</v>
      </c>
      <c r="G19" s="27"/>
      <c r="H19" s="11"/>
    </row>
    <row r="20" spans="1:8">
      <c r="A20" s="9" t="s">
        <v>4</v>
      </c>
      <c r="B20" s="48">
        <v>6024</v>
      </c>
      <c r="C20" s="59">
        <v>0.14199999999999999</v>
      </c>
      <c r="D20" s="59">
        <v>0.1603</v>
      </c>
      <c r="E20" s="34">
        <v>855.4079999999999</v>
      </c>
      <c r="F20" s="34">
        <v>965.6472</v>
      </c>
      <c r="G20" s="27"/>
      <c r="H20" s="11"/>
    </row>
    <row r="21" spans="1:8">
      <c r="A21" s="9" t="s">
        <v>5</v>
      </c>
      <c r="B21" s="48">
        <v>15004</v>
      </c>
      <c r="C21" s="59">
        <v>0.1115</v>
      </c>
      <c r="D21" s="59">
        <v>0.1229</v>
      </c>
      <c r="E21" s="34">
        <v>1672.9460000000001</v>
      </c>
      <c r="F21" s="34">
        <v>1843.9915999999998</v>
      </c>
      <c r="G21" s="27"/>
      <c r="H21" s="11"/>
    </row>
    <row r="22" spans="1:8">
      <c r="A22" s="9" t="s">
        <v>6</v>
      </c>
      <c r="B22" s="48">
        <v>11825</v>
      </c>
      <c r="C22" s="59">
        <v>0.1041</v>
      </c>
      <c r="D22" s="59">
        <v>0.1082</v>
      </c>
      <c r="E22" s="34">
        <v>1230.9825000000001</v>
      </c>
      <c r="F22" s="34">
        <v>1279.4650000000001</v>
      </c>
      <c r="G22" s="27"/>
      <c r="H22" s="11"/>
    </row>
    <row r="23" spans="1:8">
      <c r="A23" s="9" t="s">
        <v>7</v>
      </c>
      <c r="B23" s="48">
        <v>5952</v>
      </c>
      <c r="C23" s="59">
        <v>0.11020000000000001</v>
      </c>
      <c r="D23" s="59">
        <v>0.12989999999999999</v>
      </c>
      <c r="E23" s="34">
        <v>655.91039999999998</v>
      </c>
      <c r="F23" s="34">
        <v>773.1647999999999</v>
      </c>
      <c r="G23" s="27"/>
      <c r="H23" s="11"/>
    </row>
    <row r="24" spans="1:8">
      <c r="A24" s="9" t="s">
        <v>27</v>
      </c>
      <c r="B24" s="48">
        <v>1218</v>
      </c>
      <c r="C24" s="59">
        <v>0.1389</v>
      </c>
      <c r="D24" s="59">
        <v>0.15759999999999999</v>
      </c>
      <c r="E24" s="34">
        <v>169.18019999999999</v>
      </c>
      <c r="F24" s="34">
        <v>191.95679999999999</v>
      </c>
      <c r="G24" s="27"/>
      <c r="H24" s="11"/>
    </row>
    <row r="25" spans="1:8">
      <c r="A25" s="9" t="s">
        <v>28</v>
      </c>
      <c r="B25" s="48">
        <v>57</v>
      </c>
      <c r="C25" s="59">
        <v>0.22220000000000001</v>
      </c>
      <c r="D25" s="59">
        <v>0.25</v>
      </c>
      <c r="E25" s="34">
        <v>12.6654</v>
      </c>
      <c r="F25" s="34">
        <v>14.25</v>
      </c>
      <c r="G25" s="27"/>
      <c r="H25" s="11"/>
    </row>
    <row r="26" spans="1:8">
      <c r="A26" s="26" t="s">
        <v>33</v>
      </c>
      <c r="B26" s="50">
        <v>55711</v>
      </c>
      <c r="C26" s="61" t="s">
        <v>36</v>
      </c>
      <c r="D26" s="61" t="s">
        <v>36</v>
      </c>
      <c r="E26" s="56">
        <v>6160.4487999999992</v>
      </c>
      <c r="F26" s="56">
        <v>6934.5630999999994</v>
      </c>
      <c r="G26" s="57">
        <v>0.88836869910376903</v>
      </c>
      <c r="H26" s="58">
        <v>-4.0826178522902428</v>
      </c>
    </row>
    <row r="27" spans="1:8">
      <c r="A27" s="68" t="s">
        <v>31</v>
      </c>
      <c r="B27" s="68"/>
      <c r="C27" s="68"/>
      <c r="D27" s="68"/>
      <c r="E27" s="68"/>
      <c r="F27" s="68"/>
      <c r="G27" s="68"/>
    </row>
    <row r="28" spans="1:8" ht="15">
      <c r="A28" t="s">
        <v>2</v>
      </c>
      <c r="E28" s="13"/>
      <c r="F28" s="13"/>
    </row>
    <row r="29" spans="1:8" ht="15">
      <c r="A29" t="s">
        <v>69</v>
      </c>
    </row>
    <row r="31" spans="1:8">
      <c r="B31" s="12"/>
      <c r="C31" s="12"/>
      <c r="D31" s="12"/>
    </row>
    <row r="33" spans="2:7" ht="16">
      <c r="G33" s="43"/>
    </row>
    <row r="40" spans="2:7">
      <c r="B40" s="25"/>
    </row>
  </sheetData>
  <mergeCells count="5">
    <mergeCell ref="C2:D2"/>
    <mergeCell ref="E2:F2"/>
    <mergeCell ref="A27:G27"/>
    <mergeCell ref="A1:H1"/>
    <mergeCell ref="G2:G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7"/>
  <sheetViews>
    <sheetView tabSelected="1" zoomScaleNormal="100" workbookViewId="0">
      <selection activeCell="H32" sqref="H32:J32"/>
    </sheetView>
  </sheetViews>
  <sheetFormatPr baseColWidth="10" defaultColWidth="8.83203125" defaultRowHeight="13"/>
  <cols>
    <col min="1" max="1" width="30.6640625" customWidth="1"/>
  </cols>
  <sheetData>
    <row r="1" spans="1:19">
      <c r="A1" s="22" t="s">
        <v>66</v>
      </c>
    </row>
    <row r="2" spans="1:19">
      <c r="A2" s="30"/>
      <c r="B2" s="65" t="s">
        <v>41</v>
      </c>
      <c r="C2" s="65"/>
      <c r="D2" s="65"/>
      <c r="E2" s="65" t="s">
        <v>42</v>
      </c>
      <c r="F2" s="65"/>
      <c r="G2" s="65"/>
      <c r="H2" s="65" t="s">
        <v>43</v>
      </c>
      <c r="I2" s="65"/>
      <c r="J2" s="65"/>
      <c r="K2" s="65" t="s">
        <v>44</v>
      </c>
      <c r="L2" s="65"/>
      <c r="M2" s="65"/>
      <c r="N2" s="65" t="s">
        <v>59</v>
      </c>
      <c r="O2" s="65"/>
      <c r="P2" s="65"/>
      <c r="Q2" s="65" t="s">
        <v>64</v>
      </c>
      <c r="R2" s="65"/>
      <c r="S2" s="65"/>
    </row>
    <row r="3" spans="1:19">
      <c r="A3" s="26"/>
      <c r="B3" s="4" t="s">
        <v>15</v>
      </c>
      <c r="C3" s="4" t="s">
        <v>45</v>
      </c>
      <c r="D3" s="4" t="s">
        <v>46</v>
      </c>
      <c r="E3" s="4" t="s">
        <v>15</v>
      </c>
      <c r="F3" s="4" t="s">
        <v>45</v>
      </c>
      <c r="G3" s="4" t="s">
        <v>46</v>
      </c>
      <c r="H3" s="4" t="s">
        <v>15</v>
      </c>
      <c r="I3" s="4" t="s">
        <v>45</v>
      </c>
      <c r="J3" s="4" t="s">
        <v>46</v>
      </c>
      <c r="K3" s="4" t="s">
        <v>15</v>
      </c>
      <c r="L3" s="4" t="s">
        <v>45</v>
      </c>
      <c r="M3" s="4" t="s">
        <v>46</v>
      </c>
      <c r="N3" s="4" t="s">
        <v>15</v>
      </c>
      <c r="O3" s="4" t="s">
        <v>45</v>
      </c>
      <c r="P3" s="4" t="s">
        <v>46</v>
      </c>
      <c r="Q3" s="4" t="s">
        <v>15</v>
      </c>
      <c r="R3" s="4" t="s">
        <v>45</v>
      </c>
      <c r="S3" s="4" t="s">
        <v>46</v>
      </c>
    </row>
    <row r="4" spans="1:19">
      <c r="A4" s="35" t="s">
        <v>47</v>
      </c>
      <c r="B4" s="35"/>
      <c r="C4" s="35"/>
      <c r="D4" s="35"/>
      <c r="E4" s="35"/>
      <c r="F4" s="35"/>
      <c r="G4" s="35"/>
      <c r="H4" s="35"/>
      <c r="I4" s="35"/>
      <c r="J4" s="35"/>
      <c r="K4" s="35"/>
      <c r="L4" s="35"/>
      <c r="M4" s="35"/>
      <c r="N4" s="35"/>
      <c r="O4" s="35"/>
      <c r="P4" s="35"/>
      <c r="Q4" s="35"/>
      <c r="R4" s="35"/>
      <c r="S4" s="35"/>
    </row>
    <row r="5" spans="1:19">
      <c r="A5" s="5" t="s">
        <v>53</v>
      </c>
      <c r="B5" s="53">
        <v>0.85209999999999997</v>
      </c>
      <c r="C5" s="53">
        <v>0.80489999999999995</v>
      </c>
      <c r="D5" s="53">
        <v>0.90200000000000002</v>
      </c>
      <c r="E5" s="44">
        <v>0.95120000000000005</v>
      </c>
      <c r="F5" s="44">
        <v>0.89200000000000002</v>
      </c>
      <c r="G5" s="44">
        <v>1.0144</v>
      </c>
      <c r="H5" s="44">
        <v>0.89149999999999996</v>
      </c>
      <c r="I5" s="44">
        <v>0.83679999999999999</v>
      </c>
      <c r="J5" s="44">
        <v>0.94979999999999998</v>
      </c>
      <c r="K5" s="45">
        <v>0.93530000000000002</v>
      </c>
      <c r="L5" s="45">
        <v>0.88219999999999998</v>
      </c>
      <c r="M5" s="45">
        <v>0.99150000000000005</v>
      </c>
      <c r="N5" s="45">
        <v>0.93310000000000004</v>
      </c>
      <c r="O5" s="45">
        <v>0.87539999999999996</v>
      </c>
      <c r="P5" s="45">
        <v>0.99470000000000003</v>
      </c>
      <c r="Q5" s="44">
        <v>0.91300000000000003</v>
      </c>
      <c r="R5" s="44">
        <v>0.86160000000000003</v>
      </c>
      <c r="S5" s="44">
        <v>0.96750000000000003</v>
      </c>
    </row>
    <row r="6" spans="1:19">
      <c r="A6" s="35" t="s">
        <v>48</v>
      </c>
      <c r="B6" s="37"/>
      <c r="C6" s="37"/>
      <c r="D6" s="37"/>
      <c r="E6" s="37"/>
      <c r="F6" s="37"/>
      <c r="G6" s="37"/>
      <c r="H6" s="37"/>
      <c r="I6" s="37"/>
      <c r="J6" s="37"/>
      <c r="K6" s="46"/>
      <c r="L6" s="46"/>
      <c r="M6" s="46"/>
      <c r="N6" s="46"/>
      <c r="O6" s="46"/>
      <c r="P6" s="46"/>
      <c r="Q6" s="37"/>
      <c r="R6" s="37"/>
      <c r="S6" s="37"/>
    </row>
    <row r="7" spans="1:19">
      <c r="A7" s="22" t="s">
        <v>16</v>
      </c>
      <c r="B7" s="36"/>
      <c r="C7" s="36"/>
      <c r="D7" s="36"/>
      <c r="E7" s="36"/>
      <c r="F7" s="36"/>
      <c r="G7" s="36"/>
      <c r="H7" s="36"/>
      <c r="I7" s="36"/>
      <c r="J7" s="36"/>
      <c r="K7" s="54"/>
      <c r="L7" s="54"/>
      <c r="M7" s="54"/>
      <c r="N7" s="54"/>
      <c r="O7" s="54"/>
      <c r="P7" s="54"/>
      <c r="Q7" s="36"/>
      <c r="R7" s="36"/>
      <c r="S7" s="36"/>
    </row>
    <row r="8" spans="1:19" ht="15">
      <c r="A8" s="9" t="s">
        <v>17</v>
      </c>
      <c r="E8" s="45">
        <v>1</v>
      </c>
      <c r="H8" s="36"/>
      <c r="I8" s="36"/>
      <c r="J8" s="36"/>
      <c r="K8" s="45">
        <v>1</v>
      </c>
      <c r="L8" s="54"/>
      <c r="M8" s="54"/>
      <c r="N8" s="45">
        <v>1</v>
      </c>
      <c r="O8" s="54"/>
      <c r="P8" s="54"/>
      <c r="Q8" s="45">
        <v>1</v>
      </c>
      <c r="R8" s="36"/>
      <c r="S8" s="36"/>
    </row>
    <row r="9" spans="1:19">
      <c r="A9" s="9" t="s">
        <v>18</v>
      </c>
      <c r="B9" s="36"/>
      <c r="C9" s="36"/>
      <c r="D9" s="36"/>
      <c r="E9" s="45">
        <v>1.6002000000000001</v>
      </c>
      <c r="F9" s="45">
        <v>1.4883</v>
      </c>
      <c r="G9" s="45">
        <v>1.7205999999999999</v>
      </c>
      <c r="H9" s="44"/>
      <c r="I9" s="44"/>
      <c r="J9" s="44"/>
      <c r="K9" s="45">
        <v>1.5575000000000001</v>
      </c>
      <c r="L9" s="45">
        <v>1.462</v>
      </c>
      <c r="M9" s="45">
        <v>1.6593</v>
      </c>
      <c r="N9" s="45">
        <v>1.6324000000000001</v>
      </c>
      <c r="O9" s="45">
        <v>1.5195000000000001</v>
      </c>
      <c r="P9" s="45">
        <v>1.7537</v>
      </c>
      <c r="Q9" s="44">
        <v>1.5928103950164896</v>
      </c>
      <c r="R9" s="44">
        <v>1.4959777403553882</v>
      </c>
      <c r="S9" s="44">
        <v>1.6959108989615572</v>
      </c>
    </row>
    <row r="10" spans="1:19">
      <c r="A10" s="9" t="s">
        <v>19</v>
      </c>
      <c r="B10" s="36"/>
      <c r="C10" s="36"/>
      <c r="D10" s="36"/>
      <c r="E10" s="45">
        <v>1.3896999999999999</v>
      </c>
      <c r="F10" s="45">
        <v>1.0619000000000001</v>
      </c>
      <c r="G10" s="45">
        <v>1.8187</v>
      </c>
      <c r="H10" s="36"/>
      <c r="I10" s="36"/>
      <c r="J10" s="44"/>
      <c r="K10" s="45">
        <v>1.4666999999999999</v>
      </c>
      <c r="L10" s="45">
        <v>1.1335</v>
      </c>
      <c r="M10" s="45">
        <v>1.8976999999999999</v>
      </c>
      <c r="N10" s="45">
        <v>1.4127000000000001</v>
      </c>
      <c r="O10" s="45">
        <v>1.0792999999999999</v>
      </c>
      <c r="P10" s="45">
        <v>1.8491</v>
      </c>
      <c r="Q10" s="44">
        <v>1.4922723121893877</v>
      </c>
      <c r="R10" s="44">
        <v>1.1532222722179439</v>
      </c>
      <c r="S10" s="44">
        <v>1.931003855348894</v>
      </c>
    </row>
    <row r="11" spans="1:19">
      <c r="A11" s="9" t="s">
        <v>20</v>
      </c>
      <c r="B11" s="36"/>
      <c r="C11" s="36"/>
      <c r="D11" s="36"/>
      <c r="E11" s="45">
        <v>1.0350999999999999</v>
      </c>
      <c r="F11" s="45">
        <v>0.88080000000000003</v>
      </c>
      <c r="G11" s="45">
        <v>1.2164999999999999</v>
      </c>
      <c r="H11" s="36"/>
      <c r="I11" s="36"/>
      <c r="J11" s="44"/>
      <c r="K11" s="45">
        <v>0.96560000000000001</v>
      </c>
      <c r="L11" s="45">
        <v>0.83130000000000004</v>
      </c>
      <c r="M11" s="45">
        <v>1.1214999999999999</v>
      </c>
      <c r="N11" s="45">
        <v>1.0213000000000001</v>
      </c>
      <c r="O11" s="45">
        <v>0.86939999999999995</v>
      </c>
      <c r="P11" s="45">
        <v>1.1997</v>
      </c>
      <c r="Q11" s="44">
        <v>0.95075392867232689</v>
      </c>
      <c r="R11" s="44">
        <v>0.81885193419661895</v>
      </c>
      <c r="S11" s="44">
        <v>1.1039029098376849</v>
      </c>
    </row>
    <row r="12" spans="1:19">
      <c r="A12" s="9" t="s">
        <v>21</v>
      </c>
      <c r="B12" s="36"/>
      <c r="C12" s="36"/>
      <c r="D12" s="36"/>
      <c r="E12" s="45">
        <v>0.83819999999999995</v>
      </c>
      <c r="F12" s="45">
        <v>0.3281</v>
      </c>
      <c r="G12" s="45">
        <v>2.1413000000000002</v>
      </c>
      <c r="H12" s="36"/>
      <c r="I12" s="36"/>
      <c r="J12" s="44"/>
      <c r="K12" s="45">
        <v>0.97850000000000004</v>
      </c>
      <c r="L12" s="45">
        <v>0.45779999999999998</v>
      </c>
      <c r="M12" s="45">
        <v>2.0912999999999999</v>
      </c>
      <c r="N12" s="45">
        <v>0.84040000000000004</v>
      </c>
      <c r="O12" s="45">
        <v>0.32890000000000003</v>
      </c>
      <c r="P12" s="45">
        <v>2.1478999999999999</v>
      </c>
      <c r="Q12" s="44">
        <v>0.98196461979374017</v>
      </c>
      <c r="R12" s="44">
        <v>0.45928148491101967</v>
      </c>
      <c r="S12" s="44">
        <v>2.0994848392668772</v>
      </c>
    </row>
    <row r="13" spans="1:19">
      <c r="A13" s="9" t="s">
        <v>22</v>
      </c>
      <c r="B13" s="36"/>
      <c r="C13" s="36"/>
      <c r="D13" s="36"/>
      <c r="E13" s="45">
        <v>1.2806999999999999</v>
      </c>
      <c r="F13" s="45">
        <v>1.2004999999999999</v>
      </c>
      <c r="G13" s="45">
        <v>1.3662000000000001</v>
      </c>
      <c r="H13" s="36"/>
      <c r="I13" s="36"/>
      <c r="J13" s="44"/>
      <c r="K13" s="45">
        <v>1.1865000000000001</v>
      </c>
      <c r="L13" s="45">
        <v>1.1205000000000001</v>
      </c>
      <c r="M13" s="45">
        <v>1.2564</v>
      </c>
      <c r="N13" s="45">
        <v>1.2970999999999999</v>
      </c>
      <c r="O13" s="45">
        <v>1.2166999999999999</v>
      </c>
      <c r="P13" s="45">
        <v>1.3827</v>
      </c>
      <c r="Q13" s="44">
        <v>1.2014149654116923</v>
      </c>
      <c r="R13" s="44">
        <v>1.1350310416151073</v>
      </c>
      <c r="S13" s="44">
        <v>1.2716814485190431</v>
      </c>
    </row>
    <row r="14" spans="1:19">
      <c r="A14" s="9" t="s">
        <v>1</v>
      </c>
      <c r="B14" s="36"/>
      <c r="C14" s="36"/>
      <c r="D14" s="36"/>
      <c r="E14" s="45">
        <v>1.3290999999999999</v>
      </c>
      <c r="F14" s="45">
        <v>1.0710999999999999</v>
      </c>
      <c r="G14" s="45">
        <v>1.6493</v>
      </c>
      <c r="H14" s="36"/>
      <c r="I14" s="36"/>
      <c r="J14" s="44"/>
      <c r="K14" s="45">
        <v>1.3481000000000001</v>
      </c>
      <c r="L14" s="45">
        <v>1.1023000000000001</v>
      </c>
      <c r="M14" s="45">
        <v>1.6486000000000001</v>
      </c>
      <c r="N14" s="45">
        <v>1.3512</v>
      </c>
      <c r="O14" s="45">
        <v>1.0887</v>
      </c>
      <c r="P14" s="45">
        <v>1.6769000000000001</v>
      </c>
      <c r="Q14" s="44">
        <v>1.3760265026878815</v>
      </c>
      <c r="R14" s="44">
        <v>1.1251405936709835</v>
      </c>
      <c r="S14" s="44">
        <v>1.6828554109150997</v>
      </c>
    </row>
    <row r="15" spans="1:19">
      <c r="A15" s="22" t="s">
        <v>23</v>
      </c>
      <c r="B15" s="36"/>
      <c r="C15" s="36"/>
      <c r="D15" s="36"/>
      <c r="E15" s="45"/>
      <c r="F15" s="45"/>
      <c r="G15" s="45"/>
      <c r="H15" s="36"/>
      <c r="I15" s="36"/>
      <c r="J15" s="36"/>
      <c r="K15" s="54"/>
      <c r="L15" s="54"/>
      <c r="M15" s="54"/>
      <c r="N15" s="54"/>
      <c r="O15" s="54"/>
      <c r="P15" s="54"/>
      <c r="Q15" s="36"/>
      <c r="R15" s="36"/>
      <c r="S15" s="36"/>
    </row>
    <row r="16" spans="1:19" ht="15">
      <c r="A16" s="9" t="s">
        <v>24</v>
      </c>
      <c r="B16" s="36"/>
      <c r="C16" s="36"/>
      <c r="D16" s="36"/>
      <c r="E16" s="45">
        <v>1</v>
      </c>
      <c r="F16" s="45"/>
      <c r="G16" s="45"/>
      <c r="H16" s="45">
        <v>1</v>
      </c>
      <c r="I16" s="54"/>
      <c r="J16" s="54"/>
      <c r="K16" s="54"/>
      <c r="L16" s="54"/>
      <c r="M16" s="54"/>
      <c r="N16" s="45">
        <v>1</v>
      </c>
      <c r="O16" s="54"/>
      <c r="P16" s="54"/>
      <c r="Q16" s="45"/>
      <c r="R16" s="36"/>
      <c r="S16" s="36"/>
    </row>
    <row r="17" spans="1:22" ht="16">
      <c r="A17" s="9" t="s">
        <v>25</v>
      </c>
      <c r="B17" s="36"/>
      <c r="C17" s="43"/>
      <c r="D17" s="36"/>
      <c r="E17" s="45">
        <v>1.3287</v>
      </c>
      <c r="F17" s="45">
        <v>1.2361</v>
      </c>
      <c r="G17" s="45">
        <v>1.4283999999999999</v>
      </c>
      <c r="H17" s="45">
        <v>1.2209000000000001</v>
      </c>
      <c r="I17" s="45">
        <v>1.1384000000000001</v>
      </c>
      <c r="J17" s="45">
        <v>1.3093999999999999</v>
      </c>
      <c r="K17" s="54"/>
      <c r="L17" s="54"/>
      <c r="M17" s="54"/>
      <c r="N17" s="45">
        <v>1.3362000000000001</v>
      </c>
      <c r="O17" s="45">
        <v>1.2443</v>
      </c>
      <c r="P17" s="45">
        <v>1.4350000000000001</v>
      </c>
      <c r="Q17" s="44"/>
      <c r="R17" s="44"/>
      <c r="S17" s="44"/>
    </row>
    <row r="18" spans="1:22" ht="16">
      <c r="A18" s="22" t="s">
        <v>26</v>
      </c>
      <c r="B18" s="36"/>
      <c r="C18" s="43"/>
      <c r="D18" s="36"/>
      <c r="E18" s="54"/>
      <c r="F18" s="54"/>
      <c r="G18" s="54"/>
      <c r="H18" s="54"/>
      <c r="I18" s="54"/>
      <c r="J18" s="54"/>
      <c r="K18" s="54"/>
      <c r="L18" s="54"/>
      <c r="M18" s="54"/>
      <c r="N18" s="54"/>
      <c r="O18" s="54"/>
      <c r="P18" s="54"/>
      <c r="Q18" s="36"/>
      <c r="R18" s="36"/>
      <c r="S18" s="36"/>
    </row>
    <row r="19" spans="1:22" ht="15">
      <c r="A19" s="9" t="s">
        <v>29</v>
      </c>
      <c r="B19" s="36"/>
      <c r="C19" s="36"/>
      <c r="D19" s="36"/>
      <c r="E19" s="45">
        <v>1</v>
      </c>
      <c r="F19" s="54"/>
      <c r="G19" s="54"/>
      <c r="H19" s="45">
        <v>1</v>
      </c>
      <c r="I19" s="54"/>
      <c r="J19" s="54"/>
      <c r="K19" s="45">
        <v>1</v>
      </c>
      <c r="L19" s="54"/>
      <c r="M19" s="54"/>
      <c r="N19" s="54"/>
      <c r="O19" s="54"/>
      <c r="P19" s="54"/>
      <c r="Q19" s="36"/>
      <c r="R19" s="36"/>
      <c r="S19" s="36"/>
      <c r="T19" s="36"/>
      <c r="U19" s="36"/>
      <c r="V19" s="36"/>
    </row>
    <row r="20" spans="1:22">
      <c r="A20" s="16" t="s">
        <v>3</v>
      </c>
      <c r="B20" s="36"/>
      <c r="C20" s="36"/>
      <c r="D20" s="36"/>
      <c r="E20" s="45">
        <v>1.871</v>
      </c>
      <c r="F20" s="45">
        <v>1.2416</v>
      </c>
      <c r="G20" s="45">
        <v>2.8193000000000001</v>
      </c>
      <c r="H20" s="45">
        <v>2.1488999999999998</v>
      </c>
      <c r="I20" s="45">
        <v>1.4238999999999999</v>
      </c>
      <c r="J20" s="45">
        <v>3.2431999999999999</v>
      </c>
      <c r="K20" s="45">
        <v>1.7284999999999999</v>
      </c>
      <c r="L20" s="45">
        <v>1.1677</v>
      </c>
      <c r="M20" s="45">
        <v>2.5585</v>
      </c>
      <c r="N20" s="54"/>
      <c r="O20" s="54"/>
      <c r="P20" s="54"/>
      <c r="Q20" s="36"/>
      <c r="R20" s="36"/>
      <c r="S20" s="36"/>
      <c r="T20" s="36"/>
      <c r="U20" s="36"/>
      <c r="V20" s="36"/>
    </row>
    <row r="21" spans="1:22">
      <c r="A21" s="9" t="s">
        <v>4</v>
      </c>
      <c r="B21" s="36"/>
      <c r="C21" s="36"/>
      <c r="D21" s="36"/>
      <c r="E21" s="45">
        <v>1.3102</v>
      </c>
      <c r="F21" s="45">
        <v>1.202</v>
      </c>
      <c r="G21" s="45">
        <v>1.4280999999999999</v>
      </c>
      <c r="H21" s="45">
        <v>1.4056999999999999</v>
      </c>
      <c r="I21" s="45">
        <v>1.2905</v>
      </c>
      <c r="J21" s="45">
        <v>1.5313000000000001</v>
      </c>
      <c r="K21" s="45">
        <v>1.3306</v>
      </c>
      <c r="L21" s="45">
        <v>1.2311000000000001</v>
      </c>
      <c r="M21" s="45">
        <v>1.4379999999999999</v>
      </c>
      <c r="N21" s="54"/>
      <c r="O21" s="54"/>
      <c r="P21" s="54"/>
      <c r="Q21" s="36"/>
      <c r="R21" s="36"/>
      <c r="S21" s="36"/>
      <c r="T21" s="36"/>
      <c r="U21" s="36"/>
      <c r="V21" s="36"/>
    </row>
    <row r="22" spans="1:22">
      <c r="A22" s="9" t="s">
        <v>5</v>
      </c>
      <c r="B22" s="36"/>
      <c r="C22" s="36"/>
      <c r="D22" s="36"/>
      <c r="E22" s="45">
        <v>1.1083000000000001</v>
      </c>
      <c r="F22" s="45">
        <v>1.0322</v>
      </c>
      <c r="G22" s="45">
        <v>1.1899</v>
      </c>
      <c r="H22" s="45">
        <v>1.1505000000000001</v>
      </c>
      <c r="I22" s="45">
        <v>1.0717000000000001</v>
      </c>
      <c r="J22" s="45">
        <v>1.2351000000000001</v>
      </c>
      <c r="K22" s="45">
        <v>1.0711999999999999</v>
      </c>
      <c r="L22" s="45">
        <v>1.0039</v>
      </c>
      <c r="M22" s="45">
        <v>1.143</v>
      </c>
      <c r="N22" s="54"/>
      <c r="O22" s="54"/>
      <c r="P22" s="54"/>
      <c r="Q22" s="36"/>
      <c r="R22" s="36"/>
      <c r="S22" s="36"/>
      <c r="T22" s="36"/>
      <c r="U22" s="36"/>
      <c r="V22" s="36"/>
    </row>
    <row r="23" spans="1:22">
      <c r="A23" s="9" t="s">
        <v>6</v>
      </c>
      <c r="B23" s="36"/>
      <c r="C23" s="36"/>
      <c r="D23" s="36"/>
      <c r="E23" s="45">
        <v>1.0808</v>
      </c>
      <c r="F23" s="45">
        <v>1</v>
      </c>
      <c r="G23" s="45">
        <v>1.1680999999999999</v>
      </c>
      <c r="H23" s="45">
        <v>1.0617000000000001</v>
      </c>
      <c r="I23" s="45">
        <v>0.98250000000000004</v>
      </c>
      <c r="J23" s="45">
        <v>1.1474</v>
      </c>
      <c r="K23" s="45">
        <v>1.0430999999999999</v>
      </c>
      <c r="L23" s="45">
        <v>0.97199999999999998</v>
      </c>
      <c r="M23" s="45">
        <v>1.1193</v>
      </c>
      <c r="N23" s="54"/>
      <c r="O23" s="54"/>
      <c r="P23" s="54"/>
      <c r="Q23" s="36"/>
      <c r="R23" s="36"/>
      <c r="S23" s="36"/>
      <c r="T23" s="36"/>
      <c r="U23" s="36"/>
      <c r="V23" s="36"/>
    </row>
    <row r="24" spans="1:22">
      <c r="A24" s="9" t="s">
        <v>7</v>
      </c>
      <c r="B24" s="36"/>
      <c r="C24" s="36"/>
      <c r="D24" s="36"/>
      <c r="E24" s="45">
        <v>1.1566000000000001</v>
      </c>
      <c r="F24" s="45">
        <v>1.052</v>
      </c>
      <c r="G24" s="45">
        <v>1.2717000000000001</v>
      </c>
      <c r="H24" s="45">
        <v>1.1343000000000001</v>
      </c>
      <c r="I24" s="45">
        <v>1.0319</v>
      </c>
      <c r="J24" s="45">
        <v>1.2467999999999999</v>
      </c>
      <c r="K24" s="45">
        <v>1.1228</v>
      </c>
      <c r="L24" s="45">
        <v>1.0308999999999999</v>
      </c>
      <c r="M24" s="45">
        <v>1.2228000000000001</v>
      </c>
      <c r="N24" s="54"/>
      <c r="O24" s="54"/>
      <c r="P24" s="54"/>
      <c r="Q24" s="36"/>
      <c r="R24" s="36"/>
      <c r="S24" s="36"/>
      <c r="T24" s="36"/>
      <c r="U24" s="36"/>
      <c r="V24" s="36"/>
    </row>
    <row r="25" spans="1:22">
      <c r="A25" s="9" t="s">
        <v>27</v>
      </c>
      <c r="B25" s="36"/>
      <c r="C25" s="36"/>
      <c r="D25" s="36"/>
      <c r="E25" s="45">
        <v>1.53</v>
      </c>
      <c r="F25" s="45">
        <v>1.3070999999999999</v>
      </c>
      <c r="G25" s="45">
        <v>1.7909999999999999</v>
      </c>
      <c r="H25" s="45">
        <v>1.4898</v>
      </c>
      <c r="I25" s="45">
        <v>1.2721</v>
      </c>
      <c r="J25" s="45">
        <v>1.7446999999999999</v>
      </c>
      <c r="K25" s="45">
        <v>1.4039999999999999</v>
      </c>
      <c r="L25" s="45">
        <v>1.2141</v>
      </c>
      <c r="M25" s="45">
        <v>1.6234999999999999</v>
      </c>
      <c r="N25" s="54"/>
      <c r="O25" s="54"/>
      <c r="P25" s="54"/>
      <c r="Q25" s="36"/>
      <c r="R25" s="36"/>
      <c r="S25" s="36"/>
      <c r="T25" s="36"/>
      <c r="U25" s="36"/>
      <c r="V25" s="36"/>
    </row>
    <row r="26" spans="1:22">
      <c r="A26" s="9" t="s">
        <v>28</v>
      </c>
      <c r="B26" s="36"/>
      <c r="C26" s="36"/>
      <c r="D26" s="36"/>
      <c r="E26" s="45">
        <v>1.6249</v>
      </c>
      <c r="F26" s="45">
        <v>0.77690000000000003</v>
      </c>
      <c r="G26" s="45">
        <v>3.3986999999999998</v>
      </c>
      <c r="H26" s="45">
        <v>1.5431999999999999</v>
      </c>
      <c r="I26" s="45">
        <v>0.73680000000000001</v>
      </c>
      <c r="J26" s="45">
        <v>3.2322000000000002</v>
      </c>
      <c r="K26" s="45">
        <v>2.2972000000000001</v>
      </c>
      <c r="L26" s="45">
        <v>1.4248000000000001</v>
      </c>
      <c r="M26" s="45">
        <v>3.7039</v>
      </c>
      <c r="N26" s="54"/>
      <c r="O26" s="54"/>
      <c r="P26" s="54"/>
      <c r="Q26" s="36"/>
      <c r="R26" s="36"/>
      <c r="S26" s="36"/>
      <c r="T26" s="36"/>
      <c r="U26" s="36"/>
      <c r="V26" s="36"/>
    </row>
    <row r="27" spans="1:22">
      <c r="A27" s="38" t="s">
        <v>49</v>
      </c>
      <c r="B27" s="35"/>
      <c r="C27" s="35"/>
      <c r="D27" s="35"/>
      <c r="E27" s="35"/>
      <c r="F27" s="35"/>
      <c r="G27" s="35"/>
      <c r="H27" s="35"/>
      <c r="I27" s="35"/>
      <c r="J27" s="35"/>
      <c r="K27" s="47"/>
      <c r="L27" s="47"/>
      <c r="M27" s="47"/>
      <c r="N27" s="47"/>
      <c r="O27" s="47"/>
      <c r="P27" s="47"/>
      <c r="Q27" s="35"/>
      <c r="R27" s="35"/>
      <c r="S27" s="35"/>
    </row>
    <row r="28" spans="1:22" ht="39.75" customHeight="1">
      <c r="A28" s="39" t="s">
        <v>50</v>
      </c>
      <c r="B28" s="76" t="s">
        <v>62</v>
      </c>
      <c r="C28" s="76"/>
      <c r="D28" s="76"/>
      <c r="E28" s="76" t="s">
        <v>56</v>
      </c>
      <c r="F28" s="76"/>
      <c r="G28" s="76"/>
      <c r="H28" s="76" t="s">
        <v>57</v>
      </c>
      <c r="I28" s="76"/>
      <c r="J28" s="76"/>
      <c r="K28" s="76" t="s">
        <v>58</v>
      </c>
      <c r="L28" s="76"/>
      <c r="M28" s="76"/>
      <c r="N28" s="76" t="s">
        <v>60</v>
      </c>
      <c r="O28" s="76"/>
      <c r="P28" s="76"/>
      <c r="Q28" s="75" t="s">
        <v>79</v>
      </c>
      <c r="R28" s="75"/>
      <c r="S28" s="75"/>
    </row>
    <row r="29" spans="1:22">
      <c r="A29" s="40" t="s">
        <v>51</v>
      </c>
      <c r="B29" s="52"/>
      <c r="C29" s="51">
        <v>55711</v>
      </c>
      <c r="D29" s="52"/>
      <c r="E29" s="52"/>
      <c r="F29" s="63">
        <v>46663</v>
      </c>
      <c r="G29" s="52"/>
      <c r="H29" s="52"/>
      <c r="I29" s="55">
        <v>46826</v>
      </c>
      <c r="J29" s="52"/>
      <c r="K29" s="52"/>
      <c r="L29" s="51">
        <v>55505</v>
      </c>
      <c r="M29" s="52"/>
      <c r="N29" s="52"/>
      <c r="O29" s="51">
        <v>46663</v>
      </c>
      <c r="P29" s="52"/>
      <c r="Q29" s="52"/>
      <c r="R29" s="55">
        <v>55505</v>
      </c>
      <c r="S29" s="52"/>
    </row>
    <row r="30" spans="1:22">
      <c r="A30" s="41" t="s">
        <v>54</v>
      </c>
      <c r="B30" s="52"/>
      <c r="C30" s="51">
        <v>6309</v>
      </c>
      <c r="D30" s="52"/>
      <c r="E30" s="52"/>
      <c r="F30" s="63">
        <v>5218</v>
      </c>
      <c r="G30" s="52"/>
      <c r="H30" s="52"/>
      <c r="I30" s="55">
        <v>5241</v>
      </c>
      <c r="J30" s="52"/>
      <c r="K30" s="52"/>
      <c r="L30" s="51">
        <v>6275</v>
      </c>
      <c r="M30" s="52"/>
      <c r="N30" s="52"/>
      <c r="O30" s="51">
        <v>5218</v>
      </c>
      <c r="P30" s="52"/>
      <c r="Q30" s="52"/>
      <c r="R30" s="55">
        <v>6275</v>
      </c>
      <c r="S30" s="52"/>
    </row>
    <row r="31" spans="1:22">
      <c r="A31" s="41" t="s">
        <v>61</v>
      </c>
      <c r="B31" s="76" t="s">
        <v>42</v>
      </c>
      <c r="C31" s="76"/>
      <c r="D31" s="76"/>
      <c r="E31" s="76" t="s">
        <v>36</v>
      </c>
      <c r="F31" s="76"/>
      <c r="G31" s="76"/>
      <c r="H31" s="76" t="s">
        <v>42</v>
      </c>
      <c r="I31" s="76"/>
      <c r="J31" s="76"/>
      <c r="K31" s="76" t="s">
        <v>42</v>
      </c>
      <c r="L31" s="76"/>
      <c r="M31" s="76"/>
      <c r="N31" s="76" t="s">
        <v>42</v>
      </c>
      <c r="O31" s="76"/>
      <c r="P31" s="76"/>
      <c r="Q31" s="75" t="s">
        <v>44</v>
      </c>
      <c r="R31" s="75"/>
      <c r="S31" s="75"/>
    </row>
    <row r="32" spans="1:22" ht="28">
      <c r="A32" s="42" t="s">
        <v>55</v>
      </c>
      <c r="B32" s="74">
        <f>(B5-E5)/(E5) *100</f>
        <v>-10.418418839360815</v>
      </c>
      <c r="C32" s="74"/>
      <c r="D32" s="74"/>
      <c r="E32" s="80" t="s">
        <v>36</v>
      </c>
      <c r="F32" s="80"/>
      <c r="G32" s="80"/>
      <c r="H32" s="74">
        <f>(H5-E5)/(E5) *100</f>
        <v>-6.2762825904121202</v>
      </c>
      <c r="I32" s="74"/>
      <c r="J32" s="74"/>
      <c r="K32" s="73">
        <v>-1.6925988225399498</v>
      </c>
      <c r="L32" s="73"/>
      <c r="M32" s="73"/>
      <c r="N32" s="73">
        <v>-1.902859545836838</v>
      </c>
      <c r="O32" s="73"/>
      <c r="P32" s="73"/>
      <c r="Q32" s="74">
        <f>(Q5-E5)/(E5) *100</f>
        <v>-4.0159798149705646</v>
      </c>
      <c r="R32" s="74"/>
      <c r="S32" s="74"/>
    </row>
    <row r="33" spans="1:19" ht="28">
      <c r="A33" s="42" t="s">
        <v>65</v>
      </c>
      <c r="B33" s="79">
        <v>1.1206361038638342</v>
      </c>
      <c r="C33" s="79"/>
      <c r="D33" s="79"/>
      <c r="E33" s="74">
        <f>G5/F5</f>
        <v>1.137219730941704</v>
      </c>
      <c r="F33" s="74"/>
      <c r="G33" s="74"/>
      <c r="H33" s="74">
        <f>J5/I5</f>
        <v>1.1350382409177819</v>
      </c>
      <c r="I33" s="74"/>
      <c r="J33" s="74"/>
      <c r="K33" s="73">
        <v>1.1242771289261821</v>
      </c>
      <c r="L33" s="73"/>
      <c r="M33" s="73"/>
      <c r="N33" s="73">
        <v>1.1362805574594472</v>
      </c>
      <c r="O33" s="73"/>
      <c r="P33" s="73"/>
      <c r="Q33" s="74">
        <f>S5/R5</f>
        <v>1.1229108635097493</v>
      </c>
      <c r="R33" s="74"/>
      <c r="S33" s="74"/>
    </row>
    <row r="34" spans="1:19" ht="257" customHeight="1">
      <c r="A34" s="39" t="s">
        <v>52</v>
      </c>
      <c r="B34" s="78" t="s">
        <v>63</v>
      </c>
      <c r="C34" s="78"/>
      <c r="D34" s="78"/>
      <c r="E34" s="72" t="s">
        <v>81</v>
      </c>
      <c r="F34" s="72"/>
      <c r="G34" s="72"/>
      <c r="H34" s="72" t="s">
        <v>83</v>
      </c>
      <c r="I34" s="72"/>
      <c r="J34" s="72"/>
      <c r="K34" s="77" t="s">
        <v>71</v>
      </c>
      <c r="L34" s="77"/>
      <c r="M34" s="77"/>
      <c r="N34" s="77" t="s">
        <v>70</v>
      </c>
      <c r="O34" s="77"/>
      <c r="P34" s="77"/>
      <c r="Q34" s="72" t="s">
        <v>87</v>
      </c>
      <c r="R34" s="72"/>
      <c r="S34" s="72"/>
    </row>
    <row r="35" spans="1:19" ht="352" customHeight="1">
      <c r="A35" s="39" t="s">
        <v>13</v>
      </c>
      <c r="B35" s="75" t="s">
        <v>80</v>
      </c>
      <c r="C35" s="75"/>
      <c r="D35" s="75"/>
      <c r="E35" s="72" t="s">
        <v>82</v>
      </c>
      <c r="F35" s="72"/>
      <c r="G35" s="72"/>
      <c r="H35" s="72" t="s">
        <v>84</v>
      </c>
      <c r="I35" s="72"/>
      <c r="J35" s="72"/>
      <c r="K35" s="72" t="s">
        <v>85</v>
      </c>
      <c r="L35" s="72"/>
      <c r="M35" s="72"/>
      <c r="N35" s="72" t="s">
        <v>86</v>
      </c>
      <c r="O35" s="72"/>
      <c r="P35" s="72"/>
      <c r="Q35" s="72" t="s">
        <v>88</v>
      </c>
      <c r="R35" s="72"/>
      <c r="S35" s="72"/>
    </row>
    <row r="36" spans="1:19" ht="16">
      <c r="R36" s="43"/>
    </row>
    <row r="37" spans="1:19">
      <c r="B37" s="21"/>
      <c r="C37" s="21"/>
      <c r="D37" s="21"/>
      <c r="E37" s="21"/>
    </row>
  </sheetData>
  <mergeCells count="42">
    <mergeCell ref="B32:D32"/>
    <mergeCell ref="B2:D2"/>
    <mergeCell ref="E2:G2"/>
    <mergeCell ref="H2:J2"/>
    <mergeCell ref="K2:M2"/>
    <mergeCell ref="B28:D28"/>
    <mergeCell ref="B31:D31"/>
    <mergeCell ref="H28:J28"/>
    <mergeCell ref="E31:G31"/>
    <mergeCell ref="H31:J31"/>
    <mergeCell ref="K31:M31"/>
    <mergeCell ref="E28:G28"/>
    <mergeCell ref="H32:J32"/>
    <mergeCell ref="K32:M32"/>
    <mergeCell ref="E32:G32"/>
    <mergeCell ref="K28:M28"/>
    <mergeCell ref="B35:D35"/>
    <mergeCell ref="E35:G35"/>
    <mergeCell ref="H35:J35"/>
    <mergeCell ref="K35:M35"/>
    <mergeCell ref="E33:G33"/>
    <mergeCell ref="H33:J33"/>
    <mergeCell ref="K33:M33"/>
    <mergeCell ref="B34:D34"/>
    <mergeCell ref="E34:G34"/>
    <mergeCell ref="H34:J34"/>
    <mergeCell ref="K34:M34"/>
    <mergeCell ref="B33:D33"/>
    <mergeCell ref="N35:P35"/>
    <mergeCell ref="Q35:S35"/>
    <mergeCell ref="N33:P33"/>
    <mergeCell ref="Q33:S33"/>
    <mergeCell ref="Q2:S2"/>
    <mergeCell ref="Q28:S28"/>
    <mergeCell ref="Q31:S31"/>
    <mergeCell ref="N2:P2"/>
    <mergeCell ref="N28:P28"/>
    <mergeCell ref="Q34:S34"/>
    <mergeCell ref="N34:P34"/>
    <mergeCell ref="Q32:S32"/>
    <mergeCell ref="N31:P31"/>
    <mergeCell ref="N32:P32"/>
  </mergeCells>
  <pageMargins left="0.7" right="0.7" top="0.75" bottom="0.75" header="0.3" footer="0.3"/>
  <pageSetup orientation="landscape"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Table 1</vt:lpstr>
      <vt:lpstr>Table 2</vt:lpstr>
      <vt:lpstr>Table 3</vt:lpstr>
      <vt:lpstr>'Table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2022-03-21T20:07:43Z</dcterms:created>
  <dcterms:modified xsi:type="dcterms:W3CDTF">2024-03-24T22:22:19Z</dcterms:modified>
</cp:coreProperties>
</file>