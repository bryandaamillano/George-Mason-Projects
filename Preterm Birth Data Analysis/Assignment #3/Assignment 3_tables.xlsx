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yandaamillano/Desktop/GCH 824/Assignment 3/"/>
    </mc:Choice>
  </mc:AlternateContent>
  <xr:revisionPtr revIDLastSave="0" documentId="13_ncr:1_{3A5023DF-F36A-CF4B-B1EB-E102ABBCB978}" xr6:coauthVersionLast="47" xr6:coauthVersionMax="47" xr10:uidLastSave="{00000000-0000-0000-0000-000000000000}"/>
  <bookViews>
    <workbookView xWindow="0" yWindow="500" windowWidth="12740" windowHeight="14300" activeTab="4" xr2:uid="{00000000-000D-0000-FFFF-FFFF00000000}"/>
  </bookViews>
  <sheets>
    <sheet name="Table 1" sheetId="3" r:id="rId1"/>
    <sheet name="Table 2" sheetId="5" r:id="rId2"/>
    <sheet name="Table 3" sheetId="4" r:id="rId3"/>
    <sheet name="Table 4" sheetId="6" r:id="rId4"/>
    <sheet name="Tables 5 &amp; 6" sheetId="7" r:id="rId5"/>
  </sheets>
  <definedNames>
    <definedName name="_IDX1" localSheetId="0">'Table 1'!#REF!</definedName>
    <definedName name="_IDX1" localSheetId="3">'Table 4'!#REF!</definedName>
    <definedName name="_IDX11" localSheetId="2">'Table 3'!#REF!</definedName>
    <definedName name="_IDX12" localSheetId="2">'Table 3'!#REF!</definedName>
    <definedName name="_IDX13" localSheetId="2">'Table 3'!#REF!</definedName>
    <definedName name="_IDX14" localSheetId="2">'Table 3'!#REF!</definedName>
    <definedName name="_IDX16" localSheetId="2">'Table 3'!#REF!</definedName>
    <definedName name="_IDX17" localSheetId="0">'Table 1'!#REF!</definedName>
    <definedName name="_IDX17" localSheetId="3">'Table 4'!#REF!</definedName>
    <definedName name="_IDX18" localSheetId="0">'Table 1'!#REF!</definedName>
    <definedName name="_IDX18" localSheetId="3">'Table 4'!#REF!</definedName>
    <definedName name="_IDX19" localSheetId="0">'Table 1'!#REF!</definedName>
    <definedName name="_IDX19" localSheetId="3">'Table 4'!#REF!</definedName>
    <definedName name="_IDX2" localSheetId="0">'Table 1'!#REF!</definedName>
    <definedName name="_IDX2" localSheetId="3">'Table 4'!#REF!</definedName>
    <definedName name="_IDX20" localSheetId="0">'Table 1'!#REF!</definedName>
    <definedName name="_IDX20" localSheetId="3">'Table 4'!#REF!</definedName>
    <definedName name="_IDX22" localSheetId="0">'Table 1'!#REF!</definedName>
    <definedName name="_IDX22" localSheetId="3">'Table 4'!#REF!</definedName>
    <definedName name="_IDX23" localSheetId="0">'Table 1'!#REF!</definedName>
    <definedName name="_IDX23" localSheetId="3">'Table 4'!#REF!</definedName>
    <definedName name="_IDX24" localSheetId="0">'Table 1'!#REF!</definedName>
    <definedName name="_IDX24" localSheetId="3">'Table 4'!#REF!</definedName>
    <definedName name="_IDX25" localSheetId="0">'Table 1'!#REF!</definedName>
    <definedName name="_IDX25" localSheetId="3">'Table 4'!#REF!</definedName>
    <definedName name="_IDX26" localSheetId="2">'Table 3'!#REF!</definedName>
    <definedName name="_IDX27" localSheetId="0">'Table 1'!#REF!</definedName>
    <definedName name="_IDX27" localSheetId="3">'Table 4'!#REF!</definedName>
    <definedName name="_IDX28" localSheetId="0">'Table 1'!#REF!</definedName>
    <definedName name="_IDX28" localSheetId="3">'Table 4'!#REF!</definedName>
    <definedName name="_IDX280" localSheetId="0">'Table 1'!#REF!</definedName>
    <definedName name="_IDX280" localSheetId="3">'Table 4'!#REF!</definedName>
    <definedName name="_IDX281" localSheetId="0">'Table 1'!#REF!</definedName>
    <definedName name="_IDX281" localSheetId="3">'Table 4'!#REF!</definedName>
    <definedName name="_IDX282" localSheetId="0">'Table 1'!#REF!</definedName>
    <definedName name="_IDX282" localSheetId="3">'Table 4'!#REF!</definedName>
    <definedName name="_IDX283" localSheetId="0">'Table 1'!#REF!</definedName>
    <definedName name="_IDX283" localSheetId="3">'Table 4'!#REF!</definedName>
    <definedName name="_IDX29" localSheetId="0">'Table 1'!#REF!</definedName>
    <definedName name="_IDX29" localSheetId="3">'Table 4'!#REF!</definedName>
    <definedName name="_IDX3" localSheetId="0">'Table 1'!#REF!</definedName>
    <definedName name="_IDX3" localSheetId="3">'Table 4'!#REF!</definedName>
    <definedName name="_IDX30" localSheetId="0">'Table 1'!#REF!</definedName>
    <definedName name="_IDX30" localSheetId="3">'Table 4'!#REF!</definedName>
    <definedName name="_IDX31" localSheetId="0">'Table 1'!#REF!</definedName>
    <definedName name="_IDX31" localSheetId="3">'Table 4'!#REF!</definedName>
    <definedName name="_IDX311" localSheetId="3">'Table 4'!#REF!</definedName>
    <definedName name="_IDX312" localSheetId="3">'Table 4'!#REF!</definedName>
    <definedName name="_IDX314" localSheetId="3">'Table 4'!#REF!</definedName>
    <definedName name="_IDX315" localSheetId="3">'Table 4'!#REF!</definedName>
    <definedName name="_IDX317" localSheetId="3">'Table 4'!#REF!</definedName>
    <definedName name="_IDX318" localSheetId="3">'Table 4'!#REF!</definedName>
    <definedName name="_IDX32" localSheetId="0">'Table 1'!#REF!</definedName>
    <definedName name="_IDX32" localSheetId="3">'Table 4'!#REF!</definedName>
    <definedName name="_IDX320" localSheetId="3">'Table 4'!#REF!</definedName>
    <definedName name="_IDX321" localSheetId="3">'Table 4'!#REF!</definedName>
    <definedName name="_IDX323" localSheetId="3">'Table 4'!#REF!</definedName>
    <definedName name="_IDX324" localSheetId="3">'Table 4'!#REF!</definedName>
    <definedName name="_IDX326" localSheetId="3">'Table 4'!#REF!</definedName>
    <definedName name="_IDX327" localSheetId="3">'Table 4'!#REF!</definedName>
    <definedName name="_IDX329" localSheetId="3">'Table 4'!#REF!</definedName>
    <definedName name="_IDX33" localSheetId="0">'Table 1'!#REF!</definedName>
    <definedName name="_IDX33" localSheetId="3">'Table 4'!#REF!</definedName>
    <definedName name="_IDX330" localSheetId="3">'Table 4'!#REF!</definedName>
    <definedName name="_IDX332" localSheetId="3">'Table 4'!#REF!</definedName>
    <definedName name="_IDX333" localSheetId="3">'Table 4'!#REF!</definedName>
    <definedName name="_IDX335" localSheetId="3">'Table 4'!#REF!</definedName>
    <definedName name="_IDX336" localSheetId="3">'Table 4'!#REF!</definedName>
    <definedName name="_IDX338" localSheetId="3">'Table 4'!#REF!</definedName>
    <definedName name="_IDX339" localSheetId="3">'Table 4'!#REF!</definedName>
    <definedName name="_IDX34" localSheetId="0">'Table 1'!#REF!</definedName>
    <definedName name="_IDX34" localSheetId="3">'Table 4'!#REF!</definedName>
    <definedName name="_IDX341" localSheetId="3">'Table 4'!#REF!</definedName>
    <definedName name="_IDX342" localSheetId="3">'Table 4'!#REF!</definedName>
    <definedName name="_IDX344" localSheetId="3">'Table 4'!#REF!</definedName>
    <definedName name="_IDX345" localSheetId="3">'Table 4'!#REF!</definedName>
    <definedName name="_IDX35" localSheetId="0">'Table 1'!#REF!</definedName>
    <definedName name="_IDX35" localSheetId="3">'Table 4'!#REF!</definedName>
    <definedName name="_IDX36" localSheetId="0">'Table 1'!#REF!</definedName>
    <definedName name="_IDX36" localSheetId="3">'Table 4'!#REF!</definedName>
    <definedName name="_IDX37" localSheetId="0">'Table 1'!#REF!</definedName>
    <definedName name="_IDX37" localSheetId="3">'Table 4'!#REF!</definedName>
    <definedName name="_IDX38" localSheetId="0">'Table 1'!#REF!</definedName>
    <definedName name="_IDX38" localSheetId="3">'Table 4'!#REF!</definedName>
    <definedName name="_IDX39" localSheetId="0">'Table 1'!#REF!</definedName>
    <definedName name="_IDX39" localSheetId="3">'Table 4'!#REF!</definedName>
    <definedName name="_IDX4" localSheetId="0">'Table 1'!#REF!</definedName>
    <definedName name="_IDX4" localSheetId="3">'Table 4'!#REF!</definedName>
    <definedName name="_IDX40" localSheetId="0">'Table 1'!#REF!</definedName>
    <definedName name="_IDX40" localSheetId="3">'Table 4'!#REF!</definedName>
    <definedName name="_IDX41" localSheetId="0">'Table 1'!#REF!</definedName>
    <definedName name="_IDX41" localSheetId="3">'Table 4'!#REF!</definedName>
    <definedName name="_IDX42" localSheetId="0">'Table 1'!#REF!</definedName>
    <definedName name="_IDX42" localSheetId="3">'Table 4'!#REF!</definedName>
    <definedName name="_IDX43" localSheetId="0">'Table 1'!#REF!</definedName>
    <definedName name="_IDX43" localSheetId="3">'Table 4'!#REF!</definedName>
    <definedName name="_IDX44" localSheetId="0">'Table 1'!#REF!</definedName>
    <definedName name="_IDX44" localSheetId="3">'Table 4'!#REF!</definedName>
    <definedName name="_IDX45" localSheetId="0">'Table 1'!#REF!</definedName>
    <definedName name="_IDX45" localSheetId="3">'Table 4'!#REF!</definedName>
    <definedName name="_IDX46" localSheetId="0">'Table 1'!#REF!</definedName>
    <definedName name="_IDX46" localSheetId="3">'Table 4'!#REF!</definedName>
    <definedName name="_IDX47" localSheetId="0">'Table 1'!#REF!</definedName>
    <definedName name="_IDX47" localSheetId="3">'Table 4'!#REF!</definedName>
    <definedName name="_IDX48" localSheetId="0">'Table 1'!#REF!</definedName>
    <definedName name="_IDX48" localSheetId="3">'Table 4'!#REF!</definedName>
    <definedName name="_IDX49" localSheetId="0">'Table 1'!#REF!</definedName>
    <definedName name="_IDX49" localSheetId="3">'Table 4'!#REF!</definedName>
    <definedName name="_IDX50" localSheetId="0">'Table 1'!#REF!</definedName>
    <definedName name="_IDX50" localSheetId="3">'Table 4'!#REF!</definedName>
    <definedName name="_IDX51" localSheetId="0">'Table 1'!#REF!</definedName>
    <definedName name="_IDX51" localSheetId="3">'Table 4'!#REF!</definedName>
    <definedName name="_IDX52" localSheetId="0">'Table 1'!#REF!</definedName>
    <definedName name="_IDX52" localSheetId="3">'Table 4'!#REF!</definedName>
    <definedName name="_IDX53" localSheetId="0">'Table 1'!#REF!</definedName>
    <definedName name="_IDX53" localSheetId="3">'Table 4'!#REF!</definedName>
    <definedName name="_IDX54" localSheetId="0">'Table 1'!#REF!</definedName>
    <definedName name="_IDX54" localSheetId="3">'Table 4'!#REF!</definedName>
    <definedName name="_IDX56" localSheetId="0">'Table 1'!#REF!</definedName>
    <definedName name="_IDX56" localSheetId="3">'Table 4'!#REF!</definedName>
    <definedName name="_IDX57" localSheetId="0">'Table 1'!#REF!</definedName>
    <definedName name="_IDX57" localSheetId="3">'Table 4'!#REF!</definedName>
    <definedName name="_IDX58" localSheetId="0">'Table 1'!#REF!</definedName>
    <definedName name="_IDX58" localSheetId="3">'Table 4'!#REF!</definedName>
    <definedName name="_IDX59" localSheetId="0">'Table 1'!#REF!</definedName>
    <definedName name="_IDX59" localSheetId="3">'Table 4'!#REF!</definedName>
    <definedName name="_IDX6" localSheetId="0">'Table 1'!#REF!</definedName>
    <definedName name="_IDX6" localSheetId="3">'Table 4'!#REF!</definedName>
    <definedName name="_IDX60" localSheetId="2">'Table 3'!#REF!</definedName>
    <definedName name="_IDX62" localSheetId="2">'Table 3'!#REF!</definedName>
    <definedName name="_IDX63" localSheetId="2">'Table 3'!#REF!</definedName>
    <definedName name="_IDX64" localSheetId="2">'Table 3'!#REF!</definedName>
    <definedName name="_IDX65" localSheetId="2">'Table 3'!#REF!</definedName>
    <definedName name="_IDX67" localSheetId="2">'Table 3'!#REF!</definedName>
    <definedName name="_IDX68" localSheetId="2">'Table 3'!#REF!</definedName>
    <definedName name="_IDX69" localSheetId="2">'Table 3'!#REF!</definedName>
    <definedName name="_IDX7" localSheetId="0">'Table 1'!#REF!</definedName>
    <definedName name="_IDX7" localSheetId="3">'Table 4'!#REF!</definedName>
    <definedName name="_IDX70" localSheetId="2">'Table 3'!#REF!</definedName>
    <definedName name="_IDX72" localSheetId="2">'Table 3'!#REF!</definedName>
    <definedName name="_IDX73" localSheetId="2">'Table 3'!#REF!</definedName>
    <definedName name="_IDX74" localSheetId="2">'Table 3'!#REF!</definedName>
    <definedName name="_IDX75" localSheetId="2">'Table 3'!#REF!</definedName>
    <definedName name="_IDX77" localSheetId="2">'Table 3'!#REF!</definedName>
    <definedName name="_IDX78" localSheetId="2">'Table 3'!#REF!</definedName>
    <definedName name="_IDX79" localSheetId="2">'Table 3'!#REF!</definedName>
    <definedName name="_IDX8" localSheetId="0">'Table 1'!#REF!</definedName>
    <definedName name="_IDX8" localSheetId="3">'Table 4'!#REF!</definedName>
    <definedName name="_IDX80" localSheetId="2">'Table 3'!#REF!</definedName>
    <definedName name="_IDX9" localSheetId="0">'Table 1'!#REF!</definedName>
    <definedName name="_IDX9" localSheetId="3">'Table 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F16" i="6"/>
  <c r="E16" i="6"/>
  <c r="G15" i="6"/>
  <c r="F15" i="6"/>
  <c r="E15" i="6"/>
  <c r="G10" i="6"/>
  <c r="F10" i="6"/>
  <c r="G7" i="6"/>
  <c r="F7" i="6"/>
  <c r="C16" i="5"/>
  <c r="B16" i="5"/>
  <c r="C15" i="5"/>
  <c r="B15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5" i="5"/>
  <c r="B5" i="5"/>
  <c r="C4" i="5"/>
  <c r="B4" i="5"/>
  <c r="C9" i="4"/>
  <c r="B9" i="4"/>
  <c r="B7" i="4"/>
  <c r="B8" i="4"/>
  <c r="B6" i="4"/>
  <c r="B4" i="4"/>
  <c r="Q10" i="4"/>
  <c r="P10" i="4"/>
  <c r="O10" i="4"/>
  <c r="M10" i="4"/>
  <c r="L10" i="4"/>
  <c r="K10" i="4"/>
  <c r="I10" i="4"/>
  <c r="H10" i="4"/>
  <c r="G10" i="4"/>
  <c r="E10" i="4"/>
  <c r="C10" i="4"/>
  <c r="B10" i="4"/>
  <c r="Q9" i="4"/>
  <c r="P9" i="4"/>
  <c r="O9" i="4"/>
  <c r="M9" i="4"/>
  <c r="L9" i="4"/>
  <c r="K9" i="4"/>
  <c r="I9" i="4"/>
  <c r="H9" i="4"/>
  <c r="G9" i="4"/>
  <c r="E9" i="4"/>
  <c r="Q8" i="4"/>
  <c r="P8" i="4"/>
  <c r="O8" i="4"/>
  <c r="M8" i="4"/>
  <c r="L8" i="4"/>
  <c r="K8" i="4"/>
  <c r="I8" i="4"/>
  <c r="H8" i="4"/>
  <c r="G8" i="4"/>
  <c r="E8" i="4"/>
  <c r="C8" i="4"/>
  <c r="Q7" i="4"/>
  <c r="P7" i="4"/>
  <c r="O7" i="4"/>
  <c r="M7" i="4"/>
  <c r="L7" i="4"/>
  <c r="K7" i="4"/>
  <c r="I7" i="4"/>
  <c r="H7" i="4"/>
  <c r="G7" i="4"/>
  <c r="E7" i="4"/>
  <c r="C7" i="4"/>
  <c r="Q6" i="4"/>
  <c r="P6" i="4"/>
  <c r="O6" i="4"/>
  <c r="M6" i="4"/>
  <c r="L6" i="4"/>
  <c r="K6" i="4"/>
  <c r="I6" i="4"/>
  <c r="H6" i="4"/>
  <c r="G6" i="4"/>
  <c r="E6" i="4"/>
  <c r="C6" i="4"/>
  <c r="Q5" i="4"/>
  <c r="P5" i="4"/>
  <c r="O5" i="4"/>
  <c r="M5" i="4"/>
  <c r="L5" i="4"/>
  <c r="K5" i="4"/>
  <c r="I5" i="4"/>
  <c r="H5" i="4"/>
  <c r="G5" i="4"/>
  <c r="E5" i="4"/>
  <c r="C5" i="4"/>
  <c r="B5" i="4"/>
  <c r="E4" i="4"/>
  <c r="C4" i="4"/>
</calcChain>
</file>

<file path=xl/sharedStrings.xml><?xml version="1.0" encoding="utf-8"?>
<sst xmlns="http://schemas.openxmlformats.org/spreadsheetml/2006/main" count="179" uniqueCount="70">
  <si>
    <t>RD</t>
  </si>
  <si>
    <t>RR</t>
  </si>
  <si>
    <t>OR</t>
  </si>
  <si>
    <t>R</t>
  </si>
  <si>
    <t>Yes</t>
  </si>
  <si>
    <t>African American</t>
  </si>
  <si>
    <t>American Indian/Alaska Native</t>
  </si>
  <si>
    <t>Asian</t>
  </si>
  <si>
    <t>Hawaiian/Pacific Islander</t>
  </si>
  <si>
    <t>Hispanic</t>
  </si>
  <si>
    <t>Multi-racial</t>
  </si>
  <si>
    <t>95% CI</t>
  </si>
  <si>
    <t>Preterm 
N</t>
  </si>
  <si>
    <t>Total 
N</t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</si>
  <si>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Preterm birth includes live births that occurred at gestational ages 21-36 weeks inclusive</t>
    </r>
  </si>
  <si>
    <r>
      <rPr>
        <vertAlign val="superscript"/>
        <sz val="10"/>
        <color indexed="8"/>
        <rFont val="Arial"/>
        <family val="2"/>
      </rPr>
      <t>b</t>
    </r>
    <r>
      <rPr>
        <sz val="10"/>
        <color theme="1"/>
        <rFont val="Arial"/>
        <family val="2"/>
      </rPr>
      <t>Only births reported on the 2003 revised U.S. Standard Birth Certificate were eligible</t>
    </r>
  </si>
  <si>
    <r>
      <t>Early entry into prental care</t>
    </r>
    <r>
      <rPr>
        <vertAlign val="superscript"/>
        <sz val="10"/>
        <color indexed="8"/>
        <rFont val="Arial"/>
        <family val="2"/>
      </rPr>
      <t>c</t>
    </r>
  </si>
  <si>
    <r>
      <rPr>
        <vertAlign val="superscript"/>
        <sz val="10"/>
        <rFont val="Arial"/>
        <family val="2"/>
      </rPr>
      <t>c</t>
    </r>
    <r>
      <rPr>
        <sz val="10"/>
        <rFont val="Arial"/>
        <family val="2"/>
      </rPr>
      <t>Early entry into prenatal care includes entry into prenatal care prior to 5 months gestation; not early entry includes no entry into prenatal care and entry in month 5 or later</t>
    </r>
  </si>
  <si>
    <r>
      <t>No</t>
    </r>
    <r>
      <rPr>
        <vertAlign val="superscript"/>
        <sz val="10"/>
        <color indexed="8"/>
        <rFont val="Arial"/>
        <family val="2"/>
      </rPr>
      <t>d</t>
    </r>
  </si>
  <si>
    <r>
      <t>White</t>
    </r>
    <r>
      <rPr>
        <vertAlign val="superscript"/>
        <sz val="10"/>
        <color indexed="8"/>
        <rFont val="Arial"/>
        <family val="2"/>
      </rPr>
      <t>d</t>
    </r>
  </si>
  <si>
    <r>
      <rPr>
        <vertAlign val="superscript"/>
        <sz val="10"/>
        <color indexed="8"/>
        <rFont val="Arial"/>
        <family val="2"/>
      </rPr>
      <t>d</t>
    </r>
    <r>
      <rPr>
        <sz val="10"/>
        <color theme="1"/>
        <rFont val="Arial"/>
        <family val="2"/>
      </rPr>
      <t>Reference group</t>
    </r>
  </si>
  <si>
    <t>Mother smoked during pregnancy</t>
  </si>
  <si>
    <t>Mexican</t>
  </si>
  <si>
    <t>Puerto Rican</t>
  </si>
  <si>
    <t>Cuban</t>
  </si>
  <si>
    <r>
      <t>No</t>
    </r>
    <r>
      <rPr>
        <vertAlign val="superscript"/>
        <sz val="10"/>
        <color indexed="8"/>
        <rFont val="Arial"/>
        <family val="2"/>
      </rPr>
      <t>d</t>
    </r>
  </si>
  <si>
    <r>
      <rPr>
        <vertAlign val="superscript"/>
        <sz val="10"/>
        <color indexed="8"/>
        <rFont val="Arial"/>
        <family val="2"/>
      </rPr>
      <t>c</t>
    </r>
    <r>
      <rPr>
        <sz val="10"/>
        <color theme="1"/>
        <rFont val="Arial"/>
        <family val="2"/>
      </rPr>
      <t>Reference group</t>
    </r>
  </si>
  <si>
    <r>
      <t>White</t>
    </r>
    <r>
      <rPr>
        <vertAlign val="superscript"/>
        <sz val="10"/>
        <color indexed="8"/>
        <rFont val="Arial"/>
        <family val="2"/>
      </rPr>
      <t>c</t>
    </r>
  </si>
  <si>
    <r>
      <t>Not Hispanic</t>
    </r>
    <r>
      <rPr>
        <vertAlign val="superscript"/>
        <sz val="10"/>
        <color indexed="8"/>
        <rFont val="Arial"/>
        <family val="2"/>
      </rPr>
      <t>c</t>
    </r>
  </si>
  <si>
    <r>
      <t>Non-Hispanic</t>
    </r>
    <r>
      <rPr>
        <vertAlign val="superscript"/>
        <sz val="10"/>
        <color indexed="8"/>
        <rFont val="Arial"/>
        <family val="2"/>
      </rPr>
      <t>c</t>
    </r>
  </si>
  <si>
    <t>Central or South American</t>
  </si>
  <si>
    <t>Maternal Hispanic versus Not Hispanic among Single Race White Only</t>
  </si>
  <si>
    <t>Maternal Hispanic versus Not Hispanic</t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</si>
  <si>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Early entry into prenatal care includes entry into prenatal care prior to 5 months gestation; not early entry includes no entry into prenatal care and entry in month 5 or later</t>
    </r>
  </si>
  <si>
    <r>
      <rPr>
        <vertAlign val="superscript"/>
        <sz val="10"/>
        <color indexed="8"/>
        <rFont val="Arial"/>
        <family val="2"/>
      </rPr>
      <t>b</t>
    </r>
    <r>
      <rPr>
        <sz val="10"/>
        <color theme="1"/>
        <rFont val="Arial"/>
        <family val="2"/>
      </rPr>
      <t>Reference group</t>
    </r>
  </si>
  <si>
    <r>
      <t>No</t>
    </r>
    <r>
      <rPr>
        <vertAlign val="superscript"/>
        <sz val="10"/>
        <color indexed="8"/>
        <rFont val="Arial"/>
        <family val="2"/>
      </rPr>
      <t>b</t>
    </r>
  </si>
  <si>
    <r>
      <t>Non-Hispanic</t>
    </r>
    <r>
      <rPr>
        <vertAlign val="superscript"/>
        <sz val="10"/>
        <color indexed="8"/>
        <rFont val="Arial"/>
        <family val="2"/>
      </rPr>
      <t>b</t>
    </r>
  </si>
  <si>
    <r>
      <t>White</t>
    </r>
    <r>
      <rPr>
        <vertAlign val="superscript"/>
        <sz val="10"/>
        <color indexed="8"/>
        <rFont val="Arial"/>
        <family val="2"/>
      </rPr>
      <t>b</t>
    </r>
  </si>
  <si>
    <t>Early Entry
N</t>
  </si>
  <si>
    <t>Not Early Entry
N</t>
  </si>
  <si>
    <t>Other and Unknown Hispanic</t>
  </si>
  <si>
    <t>NNT</t>
  </si>
  <si>
    <t>Maternal Race/Ethnicity</t>
  </si>
  <si>
    <t>Maternal Hispanic Ethnic Groups versus Non-Hispanic White Single Race</t>
  </si>
  <si>
    <r>
      <t>Table 1. Unadjusted Estimated Incidence Proportions (R), Risk Differences (RD), Risk Ratios (RR), Incidence Odds Ratios (OR), and 95% Confidence Intervals (CI) for the Risk of Preterm Birth</t>
    </r>
    <r>
      <rPr>
        <b/>
        <vertAlign val="superscript"/>
        <sz val="10"/>
        <color indexed="8"/>
        <rFont val="Arial"/>
        <family val="2"/>
      </rPr>
      <t>a</t>
    </r>
    <r>
      <rPr>
        <b/>
        <sz val="10"/>
        <color indexed="8"/>
        <rFont val="Arial"/>
        <family val="2"/>
      </rPr>
      <t xml:space="preserve"> in a Cohort of U.S. Singleton Live Births Using 2006 U.S. Birth Certificate Data</t>
    </r>
    <r>
      <rPr>
        <b/>
        <vertAlign val="superscript"/>
        <sz val="10"/>
        <color indexed="8"/>
        <rFont val="Arial"/>
        <family val="2"/>
      </rPr>
      <t>b</t>
    </r>
  </si>
  <si>
    <r>
      <t>Table 2. Estimated Incidence Proportions (R), Risk Differences (RD), Risk Ratios (RR), Incidence Odds Ratios (OR), and 95% Confidence Intervals (CI) for the Risk of Preterm Birth</t>
    </r>
    <r>
      <rPr>
        <b/>
        <vertAlign val="superscript"/>
        <sz val="10"/>
        <color indexed="8"/>
        <rFont val="Arial"/>
        <family val="2"/>
      </rPr>
      <t>a</t>
    </r>
    <r>
      <rPr>
        <b/>
        <sz val="10"/>
        <color indexed="8"/>
        <rFont val="Arial"/>
        <family val="2"/>
      </rPr>
      <t xml:space="preserve"> in a Cohort of U.S. Singleton Live Births Using 2006 U.S. Birth Certificate Data</t>
    </r>
    <r>
      <rPr>
        <b/>
        <vertAlign val="superscript"/>
        <sz val="10"/>
        <color indexed="8"/>
        <rFont val="Arial"/>
        <family val="2"/>
      </rPr>
      <t>b</t>
    </r>
  </si>
  <si>
    <r>
      <t>Table 3. Unadjusted Estimated Incidence Proportions (R), Risk Differences (RD), Risk Ratios (RR), Incidence Odds Ratios (OR), and 95% Confidence Intervals (CI) for the Risk of Preterm Birth</t>
    </r>
    <r>
      <rPr>
        <b/>
        <vertAlign val="superscript"/>
        <sz val="10"/>
        <color indexed="8"/>
        <rFont val="Arial"/>
        <family val="2"/>
      </rPr>
      <t>a</t>
    </r>
    <r>
      <rPr>
        <b/>
        <sz val="10"/>
        <color indexed="8"/>
        <rFont val="Arial"/>
        <family val="2"/>
      </rPr>
      <t xml:space="preserve"> by Race and Ethnicity in a Cohort of  U.S. Singleton Live Births Using 2006 U.S. Birth Certificate Data</t>
    </r>
    <r>
      <rPr>
        <b/>
        <vertAlign val="superscript"/>
        <sz val="10"/>
        <color indexed="8"/>
        <rFont val="Arial"/>
        <family val="2"/>
      </rPr>
      <t>b</t>
    </r>
  </si>
  <si>
    <r>
      <t>Table 4. Unadjusted Associations Between Early Entry Into Prental Care</t>
    </r>
    <r>
      <rPr>
        <b/>
        <vertAlign val="superscript"/>
        <sz val="10"/>
        <color indexed="8"/>
        <rFont val="Arial"/>
        <family val="2"/>
      </rPr>
      <t>a</t>
    </r>
    <r>
      <rPr>
        <b/>
        <sz val="10"/>
        <color indexed="8"/>
        <rFont val="Arial"/>
        <family val="2"/>
      </rPr>
      <t xml:space="preserve"> Versus Not Early Entry and Study Covariates.</t>
    </r>
  </si>
  <si>
    <t>Model 1
Tertiles</t>
  </si>
  <si>
    <t>Model 2
"Biologic" Categories</t>
  </si>
  <si>
    <t>Model 3
5 Year Age Groups</t>
  </si>
  <si>
    <t>Model 4
Single Years, 
Grouped Ends</t>
  </si>
  <si>
    <t>Model 9
Linear Risk, Linear</t>
  </si>
  <si>
    <t>Model 10
Linear Risk, Quadratic</t>
  </si>
  <si>
    <t>Estimate</t>
  </si>
  <si>
    <t>Risk</t>
  </si>
  <si>
    <t>16 vs. 26</t>
  </si>
  <si>
    <t>40 vs. 26</t>
  </si>
  <si>
    <t>Model 5
Tertiles</t>
  </si>
  <si>
    <t>Model 6
"Biologic" Categories</t>
  </si>
  <si>
    <t>Model 7
5 Year Age Groups</t>
  </si>
  <si>
    <t>Model 8
Single Years, 
Grouped Ends</t>
  </si>
  <si>
    <t>Model 11
Log Risk, Linear</t>
  </si>
  <si>
    <t>Model 12
Log Risk, Quadratic</t>
  </si>
  <si>
    <t>Model 13
Linear Spline</t>
  </si>
  <si>
    <t>Model 14
Quadratic Spline</t>
  </si>
  <si>
    <t>Model 15
Restricted 
Quadratic Spline</t>
  </si>
  <si>
    <t>Table 5. Estimated Risks, RDs, &amp; 95% CIs for Maternal Age From Linear Risk Regression Models.</t>
  </si>
  <si>
    <t>Table 6. Estimated Risks, RRs, &amp; 95% CIs for Maternal Age From Log-Risk Regression Models.</t>
  </si>
  <si>
    <t>Table 6. Estimated Risks, RRs, &amp; 95% CIs for Maternal Age From Log-Risk Regression Models cont.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</si>
</sst>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112277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left" indent="1"/>
    </xf>
    <xf numFmtId="3" fontId="9" fillId="0" borderId="0" xfId="0" applyNumberFormat="1" applyFont="1"/>
    <xf numFmtId="2" fontId="9" fillId="0" borderId="0" xfId="0" applyNumberFormat="1" applyFont="1" applyAlignment="1">
      <alignment horizontal="center"/>
    </xf>
    <xf numFmtId="3" fontId="9" fillId="0" borderId="2" xfId="0" applyNumberFormat="1" applyFont="1" applyBorder="1"/>
    <xf numFmtId="164" fontId="9" fillId="0" borderId="0" xfId="0" applyNumberFormat="1" applyFont="1" applyAlignment="1">
      <alignment horizontal="center"/>
    </xf>
    <xf numFmtId="0" fontId="1" fillId="0" borderId="0" xfId="0" applyFont="1" applyAlignment="1">
      <alignment horizontal="left" indent="1"/>
    </xf>
    <xf numFmtId="3" fontId="0" fillId="0" borderId="0" xfId="0" applyNumberFormat="1"/>
    <xf numFmtId="164" fontId="0" fillId="0" borderId="0" xfId="0" applyNumberFormat="1" applyAlignment="1">
      <alignment horizontal="center"/>
    </xf>
    <xf numFmtId="3" fontId="0" fillId="0" borderId="2" xfId="0" applyNumberFormat="1" applyBorder="1"/>
    <xf numFmtId="2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0" fillId="0" borderId="2" xfId="0" applyNumberFormat="1" applyBorder="1" applyAlignment="1">
      <alignment horizontal="center"/>
    </xf>
    <xf numFmtId="3" fontId="3" fillId="0" borderId="0" xfId="0" applyNumberFormat="1" applyFont="1"/>
    <xf numFmtId="0" fontId="8" fillId="0" borderId="0" xfId="0" applyFont="1"/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4" fontId="3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9" fillId="2" borderId="0" xfId="0" applyNumberFormat="1" applyFont="1" applyFill="1"/>
    <xf numFmtId="165" fontId="0" fillId="2" borderId="0" xfId="0" applyNumberFormat="1" applyFill="1"/>
    <xf numFmtId="165" fontId="0" fillId="0" borderId="0" xfId="0" applyNumberFormat="1"/>
    <xf numFmtId="165" fontId="9" fillId="0" borderId="0" xfId="0" applyNumberFormat="1" applyFont="1"/>
    <xf numFmtId="2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190500</xdr:colOff>
      <xdr:row>1</xdr:row>
      <xdr:rowOff>276224</xdr:rowOff>
    </xdr:from>
    <xdr:to>
      <xdr:col>21</xdr:col>
      <xdr:colOff>9525</xdr:colOff>
      <xdr:row>6</xdr:row>
      <xdr:rowOff>133349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43875" y="847724"/>
          <a:ext cx="1647825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 Zero</a:t>
          </a:r>
          <a:r>
            <a:rPr lang="en-US" sz="1100" baseline="0"/>
            <a:t> cells in preterm N and total N column will update when Table 1 is complete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2</xdr:row>
      <xdr:rowOff>152400</xdr:rowOff>
    </xdr:from>
    <xdr:to>
      <xdr:col>20</xdr:col>
      <xdr:colOff>400050</xdr:colOff>
      <xdr:row>8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848600" y="1143000"/>
          <a:ext cx="1647825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 Zero</a:t>
          </a:r>
          <a:r>
            <a:rPr lang="en-US" sz="1100" baseline="0"/>
            <a:t> cells in Maternal Race/Ethnicity section will update when Table 1 is complete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workbookViewId="0">
      <selection activeCell="J26" sqref="J26"/>
    </sheetView>
  </sheetViews>
  <sheetFormatPr baseColWidth="10" defaultColWidth="8.83203125" defaultRowHeight="13" x14ac:dyDescent="0.15"/>
  <cols>
    <col min="1" max="1" width="29.5" customWidth="1"/>
    <col min="2" max="2" width="8.33203125" bestFit="1" customWidth="1"/>
    <col min="3" max="3" width="7.33203125" customWidth="1"/>
    <col min="4" max="4" width="1.6640625" customWidth="1"/>
    <col min="5" max="5" width="7.1640625" style="6" customWidth="1"/>
    <col min="6" max="6" width="4.5" style="6" bestFit="1" customWidth="1"/>
    <col min="7" max="7" width="5.5" style="2" customWidth="1"/>
    <col min="8" max="8" width="1.6640625" style="2" customWidth="1"/>
    <col min="9" max="10" width="6.5" style="6" customWidth="1"/>
    <col min="11" max="11" width="6.1640625" customWidth="1"/>
    <col min="12" max="12" width="2" customWidth="1"/>
    <col min="13" max="14" width="5.5" style="6" customWidth="1"/>
    <col min="15" max="15" width="5.83203125" customWidth="1"/>
    <col min="16" max="16" width="1.6640625" customWidth="1"/>
    <col min="17" max="17" width="5.5" style="6" customWidth="1"/>
    <col min="18" max="18" width="4.5" style="6" customWidth="1"/>
    <col min="19" max="19" width="5.5" customWidth="1"/>
  </cols>
  <sheetData>
    <row r="1" spans="1:19" ht="36.75" customHeight="1" x14ac:dyDescent="0.15">
      <c r="A1" s="43" t="s">
        <v>44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28" x14ac:dyDescent="0.15">
      <c r="A2" s="3"/>
      <c r="B2" s="4" t="s">
        <v>12</v>
      </c>
      <c r="C2" s="4" t="s">
        <v>13</v>
      </c>
      <c r="D2" s="4"/>
      <c r="E2" s="5" t="s">
        <v>3</v>
      </c>
      <c r="F2" s="44" t="s">
        <v>11</v>
      </c>
      <c r="G2" s="44"/>
      <c r="H2" s="4"/>
      <c r="I2" s="7" t="s">
        <v>0</v>
      </c>
      <c r="J2" s="44" t="s">
        <v>11</v>
      </c>
      <c r="K2" s="44"/>
      <c r="L2" s="4"/>
      <c r="M2" s="7" t="s">
        <v>1</v>
      </c>
      <c r="N2" s="44" t="s">
        <v>11</v>
      </c>
      <c r="O2" s="44"/>
      <c r="P2" s="4"/>
      <c r="Q2" s="7" t="s">
        <v>2</v>
      </c>
      <c r="R2" s="44" t="s">
        <v>11</v>
      </c>
      <c r="S2" s="44"/>
    </row>
    <row r="3" spans="1:19" ht="14.25" customHeight="1" x14ac:dyDescent="0.15">
      <c r="A3" t="s">
        <v>16</v>
      </c>
      <c r="B3" s="14"/>
      <c r="C3" s="14"/>
    </row>
    <row r="4" spans="1:19" ht="14.25" customHeight="1" x14ac:dyDescent="0.15">
      <c r="A4" t="s">
        <v>18</v>
      </c>
      <c r="B4" s="9">
        <v>1311</v>
      </c>
      <c r="C4" s="9">
        <v>10177</v>
      </c>
      <c r="D4" s="9"/>
      <c r="E4" s="10">
        <v>0.13</v>
      </c>
      <c r="F4" s="10">
        <v>0.12</v>
      </c>
      <c r="G4" s="10">
        <v>0.14000000000000001</v>
      </c>
      <c r="H4" s="10"/>
      <c r="I4" s="20">
        <v>0</v>
      </c>
      <c r="J4" s="20"/>
      <c r="K4" s="20"/>
      <c r="L4" s="19"/>
      <c r="M4" s="19">
        <v>1</v>
      </c>
      <c r="N4" s="19"/>
      <c r="O4" s="19"/>
      <c r="P4" s="19"/>
      <c r="Q4" s="19">
        <v>1</v>
      </c>
      <c r="R4" s="10"/>
      <c r="S4" s="10"/>
    </row>
    <row r="5" spans="1:19" ht="12.75" customHeight="1" x14ac:dyDescent="0.15">
      <c r="A5" t="s">
        <v>4</v>
      </c>
      <c r="B5" s="9">
        <v>4998</v>
      </c>
      <c r="C5" s="9">
        <v>45534</v>
      </c>
      <c r="D5" s="9"/>
      <c r="E5" s="10">
        <v>0.12</v>
      </c>
      <c r="F5" s="10">
        <v>0.11</v>
      </c>
      <c r="G5" s="10">
        <v>0.11</v>
      </c>
      <c r="H5" s="10"/>
      <c r="I5" s="12">
        <v>-1.9E-2</v>
      </c>
      <c r="J5" s="12">
        <v>-2.5999999999999999E-2</v>
      </c>
      <c r="K5" s="12">
        <v>-1.2E-2</v>
      </c>
      <c r="L5" s="10"/>
      <c r="M5" s="10">
        <v>0.85199999999999998</v>
      </c>
      <c r="N5" s="10">
        <v>0.8</v>
      </c>
      <c r="O5" s="10">
        <v>0.9</v>
      </c>
      <c r="P5" s="10"/>
      <c r="Q5" s="10">
        <v>0.83</v>
      </c>
      <c r="R5" s="10">
        <v>0.78</v>
      </c>
      <c r="S5" s="10">
        <v>0.89</v>
      </c>
    </row>
    <row r="6" spans="1:19" ht="12.75" customHeight="1" x14ac:dyDescent="0.15">
      <c r="A6" t="s">
        <v>42</v>
      </c>
      <c r="B6" s="9"/>
      <c r="C6" s="9"/>
      <c r="D6" s="9"/>
      <c r="E6" s="10"/>
      <c r="F6" s="10"/>
      <c r="G6" s="10"/>
      <c r="H6" s="10"/>
      <c r="I6" s="12"/>
      <c r="J6" s="12"/>
      <c r="K6" s="12"/>
      <c r="L6" s="10"/>
      <c r="M6" s="10"/>
      <c r="N6" s="10"/>
      <c r="O6" s="10"/>
      <c r="P6" s="10"/>
      <c r="Q6" s="10"/>
      <c r="R6" s="10"/>
      <c r="S6" s="10"/>
    </row>
    <row r="7" spans="1:19" ht="14.25" customHeight="1" x14ac:dyDescent="0.15">
      <c r="A7" s="1" t="s">
        <v>19</v>
      </c>
      <c r="B7" s="9">
        <v>3168</v>
      </c>
      <c r="C7" s="9">
        <v>28770</v>
      </c>
      <c r="D7" s="9"/>
      <c r="E7" s="10"/>
      <c r="F7" s="10"/>
      <c r="G7" s="10"/>
      <c r="H7" s="10"/>
      <c r="I7" s="20">
        <v>0</v>
      </c>
      <c r="J7" s="20"/>
      <c r="K7" s="20"/>
      <c r="L7" s="19"/>
      <c r="M7" s="19">
        <v>1</v>
      </c>
      <c r="N7" s="19"/>
      <c r="O7" s="19"/>
      <c r="P7" s="19"/>
      <c r="Q7" s="19">
        <v>1</v>
      </c>
      <c r="R7" s="10"/>
      <c r="S7" s="10"/>
    </row>
    <row r="8" spans="1:19" ht="12.75" customHeight="1" x14ac:dyDescent="0.15">
      <c r="A8" s="1" t="s">
        <v>5</v>
      </c>
      <c r="B8" s="9">
        <v>1171</v>
      </c>
      <c r="C8" s="9">
        <v>7314</v>
      </c>
      <c r="D8" s="9"/>
      <c r="E8" s="10">
        <v>0.16</v>
      </c>
      <c r="F8" s="10">
        <v>0.15</v>
      </c>
      <c r="G8" s="10">
        <v>0.17</v>
      </c>
      <c r="H8" s="10"/>
      <c r="I8" s="12">
        <v>6.0999999999999999E-2</v>
      </c>
      <c r="J8" s="12">
        <v>5.1999999999999998E-2</v>
      </c>
      <c r="K8" s="12">
        <v>7.0000000000000007E-2</v>
      </c>
      <c r="L8" s="10"/>
      <c r="M8" s="10">
        <v>1.61</v>
      </c>
      <c r="N8" s="10">
        <v>1.52</v>
      </c>
      <c r="O8" s="10">
        <v>1.72</v>
      </c>
      <c r="P8" s="10"/>
      <c r="Q8" s="10">
        <v>1.73</v>
      </c>
      <c r="R8" s="10">
        <v>1.61</v>
      </c>
      <c r="S8" s="10">
        <v>1.86</v>
      </c>
    </row>
    <row r="9" spans="1:19" ht="12.75" customHeight="1" x14ac:dyDescent="0.15">
      <c r="A9" s="1" t="s">
        <v>6</v>
      </c>
      <c r="B9" s="22">
        <v>50</v>
      </c>
      <c r="C9" s="14">
        <v>332</v>
      </c>
      <c r="D9" s="22"/>
      <c r="E9" s="19">
        <v>0.15060000000000001</v>
      </c>
      <c r="F9" s="19">
        <v>0.11210000000000001</v>
      </c>
      <c r="G9" s="19">
        <v>0.18909999999999999</v>
      </c>
      <c r="H9" s="19"/>
      <c r="I9" s="20">
        <v>5.1400000000000001E-2</v>
      </c>
      <c r="J9" s="20">
        <v>1.2800000000000001E-2</v>
      </c>
      <c r="K9" s="20">
        <v>0.09</v>
      </c>
      <c r="L9" s="19"/>
      <c r="M9" s="19">
        <v>1.5183</v>
      </c>
      <c r="N9" s="19">
        <v>1.1735</v>
      </c>
      <c r="O9" s="19">
        <v>1.9643999999999999</v>
      </c>
      <c r="P9" s="19"/>
      <c r="Q9" s="19">
        <v>1.6102000000000001</v>
      </c>
      <c r="R9" s="19">
        <v>1.1893</v>
      </c>
      <c r="S9" s="19">
        <v>2.1800000000000002</v>
      </c>
    </row>
    <row r="10" spans="1:19" ht="12.75" customHeight="1" x14ac:dyDescent="0.15">
      <c r="A10" s="1" t="s">
        <v>7</v>
      </c>
      <c r="B10" s="14">
        <v>164</v>
      </c>
      <c r="C10" s="14">
        <v>1737</v>
      </c>
      <c r="D10" s="14"/>
      <c r="E10" s="6">
        <v>9.4399999999999998E-2</v>
      </c>
      <c r="F10" s="6">
        <v>8.0699999999999994E-2</v>
      </c>
      <c r="G10" s="6">
        <v>0.1082</v>
      </c>
      <c r="H10" s="6"/>
      <c r="I10" s="15">
        <v>-4.7999999999999996E-3</v>
      </c>
      <c r="J10" s="15">
        <v>-1.89E-2</v>
      </c>
      <c r="K10" s="15">
        <v>9.4000000000000004E-3</v>
      </c>
      <c r="L10" s="6"/>
      <c r="M10" s="6">
        <v>0.95179999999999998</v>
      </c>
      <c r="N10" s="6">
        <v>0.81979999999999997</v>
      </c>
      <c r="O10" s="6">
        <v>1.1052</v>
      </c>
      <c r="P10" s="6"/>
      <c r="Q10" s="6">
        <v>0.94679999999999997</v>
      </c>
      <c r="R10" s="6">
        <v>0.80279999999999996</v>
      </c>
      <c r="S10" s="6">
        <v>1.1166</v>
      </c>
    </row>
    <row r="11" spans="1:19" x14ac:dyDescent="0.15">
      <c r="A11" s="1" t="s">
        <v>8</v>
      </c>
      <c r="B11" s="14">
        <v>6</v>
      </c>
      <c r="C11">
        <v>60</v>
      </c>
      <c r="D11" s="14"/>
      <c r="E11" s="6">
        <v>0.1</v>
      </c>
      <c r="F11" s="6">
        <v>2.41E-2</v>
      </c>
      <c r="G11" s="6">
        <v>0.1759</v>
      </c>
      <c r="H11" s="6"/>
      <c r="I11" s="15">
        <v>8.0000000000000004E-4</v>
      </c>
      <c r="J11" s="15">
        <v>-7.5200000000000003E-2</v>
      </c>
      <c r="K11" s="15">
        <v>7.6799999999999993E-2</v>
      </c>
      <c r="L11" s="6"/>
      <c r="M11" s="6">
        <v>1.0081</v>
      </c>
      <c r="N11" s="6">
        <v>0.47160000000000002</v>
      </c>
      <c r="O11" s="6">
        <v>2.1553</v>
      </c>
      <c r="P11" s="6"/>
      <c r="Q11" s="6">
        <v>1.0089999999999999</v>
      </c>
      <c r="R11" s="6">
        <v>0.43380000000000002</v>
      </c>
      <c r="S11" s="6">
        <v>2.3472</v>
      </c>
    </row>
    <row r="12" spans="1:19" x14ac:dyDescent="0.15">
      <c r="A12" s="1" t="s">
        <v>9</v>
      </c>
      <c r="B12" s="9">
        <v>1632</v>
      </c>
      <c r="C12" s="9">
        <v>13512</v>
      </c>
      <c r="D12" s="9"/>
      <c r="E12" s="10">
        <v>0.12</v>
      </c>
      <c r="F12" s="10">
        <v>0.12</v>
      </c>
      <c r="G12" s="10">
        <v>0.13</v>
      </c>
      <c r="H12" s="10"/>
      <c r="I12" s="12">
        <v>2.1999999999999999E-2</v>
      </c>
      <c r="J12" s="12">
        <v>1.4999999999999999E-2</v>
      </c>
      <c r="K12" s="12">
        <v>2.8000000000000001E-2</v>
      </c>
      <c r="L12" s="10"/>
      <c r="M12" s="10">
        <v>1.22</v>
      </c>
      <c r="N12" s="10">
        <v>1.1499999999999999</v>
      </c>
      <c r="O12" s="10">
        <v>1.29</v>
      </c>
      <c r="P12" s="10"/>
      <c r="Q12" s="10">
        <v>1.25</v>
      </c>
      <c r="R12" s="10">
        <v>1.17</v>
      </c>
      <c r="S12" s="10">
        <v>1.33</v>
      </c>
    </row>
    <row r="13" spans="1:19" x14ac:dyDescent="0.15">
      <c r="A13" s="1" t="s">
        <v>10</v>
      </c>
      <c r="B13" s="14">
        <v>84</v>
      </c>
      <c r="C13">
        <v>612</v>
      </c>
      <c r="D13" s="14"/>
      <c r="E13" s="6">
        <v>0.13730000000000001</v>
      </c>
      <c r="F13" s="6">
        <v>0.11</v>
      </c>
      <c r="G13" s="6">
        <v>0.16450000000000001</v>
      </c>
      <c r="H13" s="6"/>
      <c r="I13" s="15">
        <v>3.8100000000000002E-2</v>
      </c>
      <c r="J13" s="15">
        <v>1.06E-2</v>
      </c>
      <c r="K13" s="15">
        <v>6.5500000000000003E-2</v>
      </c>
      <c r="L13" s="6"/>
      <c r="M13" s="6">
        <v>1.3836999999999999</v>
      </c>
      <c r="N13" s="6">
        <v>1.1314</v>
      </c>
      <c r="O13" s="6">
        <v>1.6923999999999999</v>
      </c>
      <c r="P13" s="6"/>
      <c r="Q13" s="6">
        <v>1.4448000000000001</v>
      </c>
      <c r="R13" s="6">
        <v>1.1443000000000001</v>
      </c>
      <c r="S13" s="6">
        <v>1.8241000000000001</v>
      </c>
    </row>
    <row r="14" spans="1:19" x14ac:dyDescent="0.15">
      <c r="A14" t="s">
        <v>21</v>
      </c>
      <c r="B14" s="9"/>
      <c r="C14" s="9"/>
      <c r="D14" s="9"/>
      <c r="E14" s="10"/>
      <c r="F14" s="10"/>
      <c r="G14" s="10"/>
      <c r="H14" s="10"/>
      <c r="I14" s="12"/>
      <c r="J14" s="12"/>
      <c r="K14" s="12"/>
      <c r="L14" s="10"/>
      <c r="M14" s="10"/>
      <c r="N14" s="10"/>
      <c r="O14" s="10"/>
      <c r="P14" s="10"/>
      <c r="Q14" s="10"/>
      <c r="R14" s="10"/>
      <c r="S14" s="10"/>
    </row>
    <row r="15" spans="1:19" ht="15" x14ac:dyDescent="0.15">
      <c r="A15" s="1" t="s">
        <v>25</v>
      </c>
      <c r="B15" s="9">
        <v>4410</v>
      </c>
      <c r="C15" s="9">
        <v>40702</v>
      </c>
      <c r="D15" s="9"/>
      <c r="E15" s="10">
        <v>0.11</v>
      </c>
      <c r="F15" s="10">
        <v>0.11</v>
      </c>
      <c r="G15" s="10">
        <v>0.11</v>
      </c>
      <c r="H15" s="10"/>
      <c r="I15" s="20">
        <v>0</v>
      </c>
      <c r="J15" s="20"/>
      <c r="K15" s="20"/>
      <c r="L15" s="19"/>
      <c r="M15" s="19">
        <v>1</v>
      </c>
      <c r="N15" s="19"/>
      <c r="O15" s="19"/>
      <c r="P15" s="19"/>
      <c r="Q15" s="19">
        <v>1</v>
      </c>
      <c r="R15" s="19"/>
      <c r="S15" s="10"/>
    </row>
    <row r="16" spans="1:19" ht="15.75" customHeight="1" x14ac:dyDescent="0.15">
      <c r="A16" s="8" t="s">
        <v>4</v>
      </c>
      <c r="B16" s="11">
        <v>831</v>
      </c>
      <c r="C16" s="11">
        <v>6124</v>
      </c>
      <c r="D16" s="11"/>
      <c r="E16" s="17">
        <v>0.14000000000000001</v>
      </c>
      <c r="F16" s="17">
        <v>0.13</v>
      </c>
      <c r="G16" s="17">
        <v>0.14000000000000001</v>
      </c>
      <c r="H16" s="17"/>
      <c r="I16" s="18">
        <v>2.7E-2</v>
      </c>
      <c r="J16" s="18">
        <v>1.7999999999999999E-2</v>
      </c>
      <c r="K16" s="18">
        <v>3.5999999999999997E-2</v>
      </c>
      <c r="L16" s="17"/>
      <c r="M16" s="17">
        <v>1.25</v>
      </c>
      <c r="N16" s="17">
        <v>1.17</v>
      </c>
      <c r="O16" s="17">
        <v>1.34</v>
      </c>
      <c r="P16" s="17"/>
      <c r="Q16" s="17">
        <v>1.29</v>
      </c>
      <c r="R16" s="17">
        <v>1.19</v>
      </c>
      <c r="S16" s="17">
        <v>1.4</v>
      </c>
    </row>
    <row r="17" spans="1:19" x14ac:dyDescent="0.15">
      <c r="A17" s="42" t="s">
        <v>14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spans="1:19" ht="15" x14ac:dyDescent="0.15">
      <c r="A18" s="41" t="s">
        <v>15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</row>
    <row r="19" spans="1:19" ht="31.5" customHeight="1" x14ac:dyDescent="0.15">
      <c r="A19" s="42" t="s">
        <v>17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 spans="1:19" ht="15" x14ac:dyDescent="0.15">
      <c r="A20" s="41" t="s">
        <v>20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</row>
    <row r="21" spans="1:19" x14ac:dyDescent="0.15">
      <c r="Q21"/>
      <c r="R21"/>
    </row>
    <row r="22" spans="1:19" x14ac:dyDescent="0.15">
      <c r="Q22"/>
      <c r="R22"/>
    </row>
    <row r="24" spans="1:19" x14ac:dyDescent="0.15">
      <c r="B24" s="6" t="s">
        <v>41</v>
      </c>
    </row>
    <row r="25" spans="1:19" ht="15" x14ac:dyDescent="0.15">
      <c r="A25" t="s">
        <v>16</v>
      </c>
      <c r="B25" s="10">
        <v>52.63</v>
      </c>
    </row>
    <row r="26" spans="1:19" x14ac:dyDescent="0.15">
      <c r="A26" t="s">
        <v>21</v>
      </c>
      <c r="B26" s="10">
        <v>37.036999999999999</v>
      </c>
    </row>
    <row r="30" spans="1:19" x14ac:dyDescent="0.15">
      <c r="E30"/>
      <c r="F30"/>
      <c r="G30"/>
      <c r="H30"/>
      <c r="I30"/>
    </row>
    <row r="31" spans="1:19" x14ac:dyDescent="0.15">
      <c r="E31"/>
      <c r="F31"/>
      <c r="G31"/>
      <c r="H31"/>
      <c r="I31"/>
    </row>
    <row r="32" spans="1:19" x14ac:dyDescent="0.15">
      <c r="E32"/>
      <c r="F32"/>
      <c r="G32"/>
      <c r="H32"/>
      <c r="I32"/>
    </row>
    <row r="33" spans="5:9" x14ac:dyDescent="0.15">
      <c r="E33"/>
      <c r="F33"/>
      <c r="G33"/>
      <c r="H33"/>
      <c r="I33"/>
    </row>
  </sheetData>
  <mergeCells count="9">
    <mergeCell ref="A20:S20"/>
    <mergeCell ref="A18:S18"/>
    <mergeCell ref="A19:S19"/>
    <mergeCell ref="A1:S1"/>
    <mergeCell ref="A17:S17"/>
    <mergeCell ref="F2:G2"/>
    <mergeCell ref="J2:K2"/>
    <mergeCell ref="N2:O2"/>
    <mergeCell ref="R2:S2"/>
  </mergeCells>
  <printOptions horizontalCentered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>
      <selection activeCell="H8" sqref="H8:I13"/>
    </sheetView>
  </sheetViews>
  <sheetFormatPr baseColWidth="10" defaultColWidth="8.83203125" defaultRowHeight="13" x14ac:dyDescent="0.15"/>
  <cols>
    <col min="1" max="1" width="28" customWidth="1"/>
    <col min="2" max="2" width="8.33203125" bestFit="1" customWidth="1"/>
    <col min="3" max="3" width="7.33203125" customWidth="1"/>
    <col min="4" max="4" width="2.5" customWidth="1"/>
    <col min="5" max="5" width="7.1640625" style="6" customWidth="1"/>
    <col min="6" max="6" width="1.6640625" style="2" customWidth="1"/>
    <col min="7" max="8" width="6.5" style="6" customWidth="1"/>
    <col min="9" max="9" width="6.1640625" customWidth="1"/>
    <col min="10" max="10" width="2" customWidth="1"/>
    <col min="11" max="12" width="5.5" style="6" customWidth="1"/>
    <col min="13" max="13" width="5.83203125" customWidth="1"/>
    <col min="14" max="14" width="1.6640625" customWidth="1"/>
    <col min="15" max="15" width="5.5" style="6" customWidth="1"/>
    <col min="16" max="16" width="4.5" style="6" customWidth="1"/>
    <col min="17" max="17" width="5.5" customWidth="1"/>
  </cols>
  <sheetData>
    <row r="1" spans="1:19" ht="45" customHeight="1" x14ac:dyDescent="0.15">
      <c r="A1" s="43" t="s">
        <v>45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9" ht="28" x14ac:dyDescent="0.15">
      <c r="A2" s="3"/>
      <c r="B2" s="4" t="s">
        <v>12</v>
      </c>
      <c r="C2" s="4" t="s">
        <v>13</v>
      </c>
      <c r="D2" s="4"/>
      <c r="E2" s="5" t="s">
        <v>3</v>
      </c>
      <c r="F2" s="4"/>
      <c r="G2" s="7" t="s">
        <v>0</v>
      </c>
      <c r="H2" s="44" t="s">
        <v>11</v>
      </c>
      <c r="I2" s="44"/>
      <c r="J2" s="4"/>
      <c r="K2" s="7" t="s">
        <v>1</v>
      </c>
      <c r="L2" s="44" t="s">
        <v>11</v>
      </c>
      <c r="M2" s="44"/>
      <c r="N2" s="4"/>
      <c r="O2" s="7" t="s">
        <v>2</v>
      </c>
      <c r="P2" s="44" t="s">
        <v>11</v>
      </c>
      <c r="Q2" s="44"/>
    </row>
    <row r="3" spans="1:19" ht="15" x14ac:dyDescent="0.15">
      <c r="A3" t="s">
        <v>16</v>
      </c>
    </row>
    <row r="4" spans="1:19" ht="15" x14ac:dyDescent="0.15">
      <c r="A4" t="s">
        <v>18</v>
      </c>
      <c r="B4" s="14">
        <f>'Table 1'!B4</f>
        <v>1311</v>
      </c>
      <c r="C4" s="14">
        <f>'Table 1'!C4</f>
        <v>10177</v>
      </c>
      <c r="D4" s="9"/>
      <c r="E4" s="10">
        <v>0.13</v>
      </c>
      <c r="F4" s="10"/>
      <c r="G4" s="20">
        <v>0</v>
      </c>
      <c r="H4" s="20"/>
      <c r="I4" s="20"/>
      <c r="J4" s="19"/>
      <c r="K4" s="19">
        <v>1</v>
      </c>
      <c r="L4" s="19"/>
      <c r="M4" s="19"/>
      <c r="N4" s="19"/>
      <c r="O4" s="19">
        <v>1</v>
      </c>
      <c r="P4" s="10"/>
      <c r="Q4" s="10"/>
      <c r="S4" s="14"/>
    </row>
    <row r="5" spans="1:19" x14ac:dyDescent="0.15">
      <c r="A5" t="s">
        <v>4</v>
      </c>
      <c r="B5" s="14">
        <f>'Table 1'!B5</f>
        <v>4998</v>
      </c>
      <c r="C5" s="14">
        <f>'Table 1'!C5</f>
        <v>45534</v>
      </c>
      <c r="D5" s="9"/>
      <c r="E5" s="10">
        <v>0.10970000000000001</v>
      </c>
      <c r="F5" s="10"/>
      <c r="G5" s="12">
        <v>-1.9E-2</v>
      </c>
      <c r="H5" s="12">
        <v>-2.5999999999999999E-2</v>
      </c>
      <c r="I5" s="12">
        <v>-1.2E-2</v>
      </c>
      <c r="J5" s="10"/>
      <c r="K5" s="10">
        <v>0.85204999999999997</v>
      </c>
      <c r="L5" s="10">
        <v>0.80500000000000005</v>
      </c>
      <c r="M5" s="10">
        <v>0.90190000000000003</v>
      </c>
      <c r="N5" s="10"/>
      <c r="O5" s="10">
        <v>0.83389999999999997</v>
      </c>
      <c r="P5" s="10">
        <v>0.84370000000000001</v>
      </c>
      <c r="Q5" s="10">
        <v>0.82410000000000005</v>
      </c>
    </row>
    <row r="6" spans="1:19" x14ac:dyDescent="0.15">
      <c r="A6" t="s">
        <v>42</v>
      </c>
      <c r="B6" s="14"/>
      <c r="C6" s="14"/>
      <c r="D6" s="9"/>
      <c r="E6" s="10"/>
      <c r="F6" s="10"/>
      <c r="G6" s="12"/>
      <c r="H6" s="12"/>
      <c r="I6" s="12"/>
      <c r="J6" s="10"/>
      <c r="K6" s="10"/>
      <c r="L6" s="10"/>
      <c r="M6" s="10"/>
      <c r="N6" s="10"/>
      <c r="O6" s="10"/>
      <c r="P6" s="10"/>
      <c r="Q6" s="10"/>
    </row>
    <row r="7" spans="1:19" ht="15" x14ac:dyDescent="0.15">
      <c r="A7" s="1" t="s">
        <v>19</v>
      </c>
      <c r="B7" s="14">
        <f>'Table 1'!B7</f>
        <v>3168</v>
      </c>
      <c r="C7" s="14">
        <f>'Table 1'!C7</f>
        <v>28770</v>
      </c>
      <c r="D7" s="9"/>
      <c r="E7" s="10">
        <v>0.1</v>
      </c>
      <c r="F7" s="10"/>
      <c r="G7" s="20">
        <v>0</v>
      </c>
      <c r="H7" s="20"/>
      <c r="I7" s="20"/>
      <c r="J7" s="19"/>
      <c r="K7" s="19">
        <v>1</v>
      </c>
      <c r="L7" s="19"/>
      <c r="M7" s="19"/>
      <c r="N7" s="19"/>
      <c r="O7" s="19">
        <v>1</v>
      </c>
      <c r="P7" s="10"/>
      <c r="Q7" s="10"/>
    </row>
    <row r="8" spans="1:19" x14ac:dyDescent="0.15">
      <c r="A8" s="1" t="s">
        <v>5</v>
      </c>
      <c r="B8" s="14">
        <f>'Table 1'!B8</f>
        <v>1171</v>
      </c>
      <c r="C8" s="14">
        <f>'Table 1'!C8</f>
        <v>7314</v>
      </c>
      <c r="D8" s="9"/>
      <c r="E8" s="10">
        <v>0.16009999999999999</v>
      </c>
      <c r="F8" s="10"/>
      <c r="G8" s="12">
        <v>6.0899999999999996E-2</v>
      </c>
      <c r="H8" s="12">
        <v>5.1884E-2</v>
      </c>
      <c r="I8" s="12">
        <v>6.9916000000000006E-2</v>
      </c>
      <c r="J8" s="10"/>
      <c r="K8" s="10">
        <v>1.6141362760185416</v>
      </c>
      <c r="L8" s="10">
        <v>1.5171961602256279</v>
      </c>
      <c r="M8" s="10">
        <v>1.7172703081264995</v>
      </c>
      <c r="N8" s="10"/>
      <c r="O8" s="10">
        <v>1.7311743616891</v>
      </c>
      <c r="P8" s="10">
        <v>1.6100737735060167</v>
      </c>
      <c r="Q8" s="10">
        <v>1.8613834470725037</v>
      </c>
    </row>
    <row r="9" spans="1:19" x14ac:dyDescent="0.15">
      <c r="A9" s="1" t="s">
        <v>6</v>
      </c>
      <c r="B9" s="14">
        <f>'Table 1'!B9</f>
        <v>50</v>
      </c>
      <c r="C9" s="14">
        <f>'Table 1'!C9</f>
        <v>332</v>
      </c>
      <c r="D9" s="9"/>
      <c r="E9" s="19">
        <v>0.14666660000000001</v>
      </c>
      <c r="F9" s="10"/>
      <c r="G9" s="12">
        <v>5.0999999999999997E-2</v>
      </c>
      <c r="H9" s="12">
        <v>1.2788000000000008E-2</v>
      </c>
      <c r="I9" s="12">
        <v>9.0011999999999995E-2</v>
      </c>
      <c r="J9" s="10"/>
      <c r="K9" s="10">
        <v>1.5183132276299329</v>
      </c>
      <c r="L9" s="10">
        <v>1.1735765894406851</v>
      </c>
      <c r="M9" s="10">
        <v>1.9643158170824582</v>
      </c>
      <c r="N9" s="10"/>
      <c r="O9" s="10">
        <v>1.6101059753035039</v>
      </c>
      <c r="P9" s="10">
        <v>1.1892037910070075</v>
      </c>
      <c r="Q9" s="10">
        <v>2.179980648659714</v>
      </c>
    </row>
    <row r="10" spans="1:19" x14ac:dyDescent="0.15">
      <c r="A10" s="1" t="s">
        <v>7</v>
      </c>
      <c r="B10" s="14">
        <f>'Table 1'!B10</f>
        <v>164</v>
      </c>
      <c r="C10" s="14">
        <f>'Table 1'!C10</f>
        <v>1737</v>
      </c>
      <c r="D10" s="14"/>
      <c r="E10" s="19">
        <v>9.4750500000000001E-2</v>
      </c>
      <c r="F10" s="10"/>
      <c r="G10" s="12">
        <v>-5.0000000000000001E-3</v>
      </c>
      <c r="H10" s="12">
        <v>-1.8911999999999998E-2</v>
      </c>
      <c r="I10" s="12">
        <v>9.3120000000000008E-3</v>
      </c>
      <c r="J10" s="10"/>
      <c r="K10" s="10">
        <v>0.95180033341096026</v>
      </c>
      <c r="L10" s="10">
        <v>0.81975316691135403</v>
      </c>
      <c r="M10" s="10">
        <v>1.1051178711447165</v>
      </c>
      <c r="N10" s="10"/>
      <c r="O10" s="10">
        <v>0.94686381774157391</v>
      </c>
      <c r="P10" s="10">
        <v>0.80281417922694787</v>
      </c>
      <c r="Q10" s="10">
        <v>1.1167604067624497</v>
      </c>
    </row>
    <row r="11" spans="1:19" x14ac:dyDescent="0.15">
      <c r="A11" s="1" t="s">
        <v>8</v>
      </c>
      <c r="B11" s="14">
        <f>'Table 1'!B11</f>
        <v>6</v>
      </c>
      <c r="C11" s="14">
        <f>'Table 1'!C11</f>
        <v>60</v>
      </c>
      <c r="D11" s="14"/>
      <c r="E11" s="19">
        <v>9.9999999999999992E-2</v>
      </c>
      <c r="F11" s="10"/>
      <c r="G11" s="12">
        <v>7.9999999999999516E-4</v>
      </c>
      <c r="H11" s="12">
        <v>-7.5248000000000009E-2</v>
      </c>
      <c r="I11" s="12">
        <v>7.6848E-2</v>
      </c>
      <c r="J11" s="10"/>
      <c r="K11" s="10">
        <v>1.0081328937531524</v>
      </c>
      <c r="L11" s="10">
        <v>0.47152082987251293</v>
      </c>
      <c r="M11" s="10">
        <v>2.1554337943922746</v>
      </c>
      <c r="N11" s="10"/>
      <c r="O11" s="10">
        <v>1.0090406217738679</v>
      </c>
      <c r="P11" s="10">
        <v>0.43379986143968779</v>
      </c>
      <c r="Q11" s="10">
        <v>2.3470799944719469</v>
      </c>
    </row>
    <row r="12" spans="1:19" x14ac:dyDescent="0.15">
      <c r="A12" s="1" t="s">
        <v>9</v>
      </c>
      <c r="B12" s="14">
        <f>'Table 1'!B12</f>
        <v>1632</v>
      </c>
      <c r="C12" s="14">
        <f>'Table 1'!C12</f>
        <v>13512</v>
      </c>
      <c r="D12" s="9"/>
      <c r="E12" s="10">
        <v>0.1208</v>
      </c>
      <c r="F12" s="10"/>
      <c r="G12" s="12">
        <v>2.1600000000000008E-2</v>
      </c>
      <c r="H12" s="12">
        <v>1.5132000000000001E-2</v>
      </c>
      <c r="I12" s="12">
        <v>2.8068000000000003E-2</v>
      </c>
      <c r="J12" s="10"/>
      <c r="K12" s="10">
        <v>1.2176222723903551</v>
      </c>
      <c r="L12" s="10">
        <v>1.1510194178333444</v>
      </c>
      <c r="M12" s="10">
        <v>1.2880790499710906</v>
      </c>
      <c r="N12" s="10"/>
      <c r="O12" s="10">
        <v>1.2475729201983095</v>
      </c>
      <c r="P12" s="10">
        <v>1.1708102142962424</v>
      </c>
      <c r="Q12" s="10">
        <v>1.3293684768096174</v>
      </c>
    </row>
    <row r="13" spans="1:19" x14ac:dyDescent="0.15">
      <c r="A13" s="1" t="s">
        <v>10</v>
      </c>
      <c r="B13" s="14">
        <f>'Table 1'!B13</f>
        <v>84</v>
      </c>
      <c r="C13" s="14">
        <f>'Table 1'!C13</f>
        <v>612</v>
      </c>
      <c r="D13" s="14"/>
      <c r="E13" s="19">
        <v>0.13730000000000001</v>
      </c>
      <c r="F13" s="6"/>
      <c r="G13" s="12">
        <v>3.8100000000000009E-2</v>
      </c>
      <c r="H13" s="12">
        <v>1.0660000000000003E-2</v>
      </c>
      <c r="I13" s="12">
        <v>6.5540000000000001E-2</v>
      </c>
      <c r="J13" s="6"/>
      <c r="K13" s="10">
        <v>1.3837538675303229</v>
      </c>
      <c r="L13" s="10">
        <v>1.1314590561783215</v>
      </c>
      <c r="M13" s="10">
        <v>1.6923058377141593</v>
      </c>
      <c r="N13" s="6"/>
      <c r="O13" s="10">
        <v>1.444842038973879</v>
      </c>
      <c r="P13" s="10">
        <v>1.1442621284830927</v>
      </c>
      <c r="Q13" s="10">
        <v>1.8243796291271224</v>
      </c>
    </row>
    <row r="14" spans="1:19" x14ac:dyDescent="0.15">
      <c r="A14" t="s">
        <v>21</v>
      </c>
      <c r="B14" s="14"/>
      <c r="C14" s="14"/>
      <c r="D14" s="9"/>
      <c r="E14" s="10"/>
      <c r="F14" s="10"/>
      <c r="G14" s="12"/>
      <c r="H14" s="12"/>
      <c r="I14" s="12"/>
      <c r="J14" s="10"/>
      <c r="K14" s="10"/>
      <c r="L14" s="10"/>
      <c r="M14" s="10"/>
      <c r="N14" s="10"/>
      <c r="O14" s="10"/>
      <c r="P14" s="10"/>
      <c r="Q14" s="10"/>
    </row>
    <row r="15" spans="1:19" ht="15" x14ac:dyDescent="0.15">
      <c r="A15" s="1" t="s">
        <v>25</v>
      </c>
      <c r="B15" s="14">
        <f>'Table 1'!B15</f>
        <v>4410</v>
      </c>
      <c r="C15" s="14">
        <f>'Table 1'!C15</f>
        <v>40702</v>
      </c>
      <c r="D15" s="9"/>
      <c r="E15" s="10">
        <v>0.12</v>
      </c>
      <c r="F15" s="10"/>
      <c r="G15" s="20">
        <v>0</v>
      </c>
      <c r="H15" s="20"/>
      <c r="I15" s="20"/>
      <c r="J15" s="19"/>
      <c r="K15" s="19">
        <v>1</v>
      </c>
      <c r="L15" s="19"/>
      <c r="M15" s="19"/>
      <c r="N15" s="19"/>
      <c r="O15" s="19">
        <v>1</v>
      </c>
      <c r="P15" s="19"/>
      <c r="Q15" s="10"/>
    </row>
    <row r="16" spans="1:19" x14ac:dyDescent="0.15">
      <c r="A16" s="8" t="s">
        <v>4</v>
      </c>
      <c r="B16" s="16">
        <f>'Table 1'!B16</f>
        <v>831</v>
      </c>
      <c r="C16" s="16">
        <f>'Table 1'!C16</f>
        <v>6124</v>
      </c>
      <c r="D16" s="11"/>
      <c r="E16" s="17">
        <v>0.1356</v>
      </c>
      <c r="F16" s="17"/>
      <c r="G16" s="18">
        <v>3.1699999999999999E-2</v>
      </c>
      <c r="H16" s="18">
        <v>1.8284000000000002E-2</v>
      </c>
      <c r="I16" s="18">
        <v>3.6316000000000001E-2</v>
      </c>
      <c r="J16" s="17"/>
      <c r="K16" s="17">
        <v>1.2524479547253058</v>
      </c>
      <c r="L16" s="17">
        <v>1.1689524431366427</v>
      </c>
      <c r="M16" s="17">
        <v>1.3419073534647123</v>
      </c>
      <c r="N16" s="17"/>
      <c r="O16" s="17">
        <v>1.2920111043220688</v>
      </c>
      <c r="P16" s="17">
        <v>1.1931823722009436</v>
      </c>
      <c r="Q16" s="17">
        <v>1.3990256079733689</v>
      </c>
    </row>
    <row r="17" spans="1:17" x14ac:dyDescent="0.15">
      <c r="A17" s="42" t="s">
        <v>14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17" ht="15" x14ac:dyDescent="0.15">
      <c r="A18" s="41" t="s">
        <v>15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 ht="27.75" customHeight="1" x14ac:dyDescent="0.15">
      <c r="A19" s="42" t="s">
        <v>17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 ht="15" x14ac:dyDescent="0.15">
      <c r="A20" t="s">
        <v>20</v>
      </c>
    </row>
    <row r="22" spans="1:17" x14ac:dyDescent="0.15">
      <c r="E22"/>
      <c r="F22"/>
      <c r="G22"/>
      <c r="H22"/>
    </row>
    <row r="23" spans="1:17" x14ac:dyDescent="0.15">
      <c r="A23" s="39"/>
      <c r="B23" s="40"/>
      <c r="C23" s="40"/>
      <c r="D23" s="40"/>
      <c r="E23" s="40"/>
      <c r="F23" s="40"/>
      <c r="G23" s="40"/>
      <c r="H23" s="40"/>
    </row>
    <row r="24" spans="1:17" x14ac:dyDescent="0.15">
      <c r="A24" s="39"/>
      <c r="B24" s="40"/>
      <c r="C24" s="40"/>
      <c r="D24" s="40"/>
      <c r="E24" s="40"/>
      <c r="F24" s="40"/>
      <c r="G24" s="40"/>
      <c r="H24" s="40"/>
    </row>
    <row r="25" spans="1:17" x14ac:dyDescent="0.15">
      <c r="A25" s="39"/>
      <c r="B25" s="40"/>
      <c r="C25" s="40"/>
      <c r="D25" s="40"/>
      <c r="E25" s="40"/>
      <c r="F25" s="40"/>
      <c r="G25"/>
      <c r="H25"/>
    </row>
    <row r="27" spans="1:17" x14ac:dyDescent="0.15">
      <c r="A27" s="39"/>
      <c r="B27" s="40"/>
      <c r="C27" s="40"/>
      <c r="D27" s="40"/>
      <c r="E27" s="40"/>
      <c r="F27" s="40"/>
      <c r="G27" s="40"/>
      <c r="H27" s="40"/>
    </row>
    <row r="28" spans="1:17" x14ac:dyDescent="0.15">
      <c r="A28" s="39"/>
      <c r="B28" s="40"/>
      <c r="C28" s="40"/>
      <c r="D28" s="40"/>
      <c r="E28" s="40"/>
      <c r="F28" s="40"/>
      <c r="G28" s="40"/>
      <c r="H28" s="40"/>
    </row>
    <row r="29" spans="1:17" x14ac:dyDescent="0.15">
      <c r="A29" s="39"/>
      <c r="B29" s="40"/>
      <c r="C29" s="40"/>
      <c r="D29" s="40"/>
      <c r="E29" s="40"/>
      <c r="F29" s="40"/>
      <c r="G29" s="40"/>
      <c r="H29" s="40"/>
    </row>
    <row r="30" spans="1:17" x14ac:dyDescent="0.15">
      <c r="A30" s="39"/>
      <c r="B30" s="40"/>
      <c r="C30" s="40"/>
      <c r="D30" s="40"/>
      <c r="E30" s="40"/>
      <c r="F30" s="40"/>
      <c r="G30"/>
      <c r="H30"/>
    </row>
    <row r="31" spans="1:17" x14ac:dyDescent="0.15">
      <c r="A31" s="39"/>
      <c r="B31" s="40"/>
      <c r="C31" s="40"/>
      <c r="D31" s="40"/>
      <c r="E31" s="40"/>
      <c r="F31" s="40"/>
      <c r="G31" s="40"/>
      <c r="H31"/>
    </row>
  </sheetData>
  <mergeCells count="7">
    <mergeCell ref="A18:Q18"/>
    <mergeCell ref="A19:Q19"/>
    <mergeCell ref="A1:Q1"/>
    <mergeCell ref="H2:I2"/>
    <mergeCell ref="L2:M2"/>
    <mergeCell ref="P2:Q2"/>
    <mergeCell ref="A17:Q17"/>
  </mergeCells>
  <printOptions horizontalCentered="1"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workbookViewId="0">
      <selection activeCell="S24" sqref="S24"/>
    </sheetView>
  </sheetViews>
  <sheetFormatPr baseColWidth="10" defaultColWidth="8.83203125" defaultRowHeight="13" x14ac:dyDescent="0.15"/>
  <cols>
    <col min="1" max="1" width="28.5" customWidth="1"/>
    <col min="2" max="2" width="8.33203125" bestFit="1" customWidth="1"/>
    <col min="3" max="3" width="9" customWidth="1"/>
    <col min="4" max="4" width="2.6640625" customWidth="1"/>
    <col min="5" max="5" width="5.5" customWidth="1"/>
    <col min="6" max="6" width="2.5" customWidth="1"/>
    <col min="7" max="7" width="9" customWidth="1"/>
    <col min="8" max="8" width="6.1640625" bestFit="1" customWidth="1"/>
    <col min="9" max="9" width="6.83203125" customWidth="1"/>
    <col min="10" max="10" width="1.5" customWidth="1"/>
    <col min="11" max="13" width="4.5" bestFit="1" customWidth="1"/>
    <col min="14" max="14" width="1.5" customWidth="1"/>
    <col min="15" max="17" width="4.5" bestFit="1" customWidth="1"/>
  </cols>
  <sheetData>
    <row r="1" spans="1:17" ht="53" customHeight="1" x14ac:dyDescent="0.15">
      <c r="A1" s="43" t="s">
        <v>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28" x14ac:dyDescent="0.15">
      <c r="A2" s="3"/>
      <c r="B2" s="4" t="s">
        <v>12</v>
      </c>
      <c r="C2" s="4" t="s">
        <v>13</v>
      </c>
      <c r="D2" s="4"/>
      <c r="E2" s="5" t="s">
        <v>3</v>
      </c>
      <c r="F2" s="4"/>
      <c r="G2" s="7" t="s">
        <v>0</v>
      </c>
      <c r="H2" s="44" t="s">
        <v>11</v>
      </c>
      <c r="I2" s="44"/>
      <c r="J2" s="4"/>
      <c r="K2" s="7" t="s">
        <v>1</v>
      </c>
      <c r="L2" s="44" t="s">
        <v>11</v>
      </c>
      <c r="M2" s="44"/>
      <c r="N2" s="4"/>
      <c r="O2" s="7" t="s">
        <v>2</v>
      </c>
      <c r="P2" s="44" t="s">
        <v>11</v>
      </c>
      <c r="Q2" s="44"/>
    </row>
    <row r="3" spans="1:17" x14ac:dyDescent="0.15">
      <c r="A3" t="s">
        <v>42</v>
      </c>
      <c r="B3" s="9"/>
      <c r="C3" s="9"/>
      <c r="D3" s="9"/>
      <c r="E3" s="10"/>
      <c r="F3" s="10"/>
      <c r="G3" s="12"/>
      <c r="H3" s="12"/>
      <c r="I3" s="12"/>
      <c r="J3" s="10"/>
      <c r="K3" s="10"/>
      <c r="L3" s="10"/>
      <c r="M3" s="10"/>
      <c r="N3" s="10"/>
      <c r="O3" s="10"/>
      <c r="P3" s="10"/>
      <c r="Q3" s="10"/>
    </row>
    <row r="4" spans="1:17" ht="15" x14ac:dyDescent="0.15">
      <c r="A4" s="1" t="s">
        <v>27</v>
      </c>
      <c r="B4" s="14">
        <f>'Table 1'!B7</f>
        <v>3168</v>
      </c>
      <c r="C4" s="14">
        <f>'Table 1'!C7</f>
        <v>28770</v>
      </c>
      <c r="D4" s="14"/>
      <c r="E4" s="6">
        <f>'Table 1'!E7</f>
        <v>0</v>
      </c>
      <c r="F4" s="6"/>
      <c r="G4" s="15">
        <v>0</v>
      </c>
      <c r="H4" s="15"/>
      <c r="I4" s="15"/>
      <c r="J4" s="6"/>
      <c r="K4" s="6">
        <v>1</v>
      </c>
      <c r="L4" s="6"/>
      <c r="M4" s="6"/>
      <c r="N4" s="6"/>
      <c r="O4" s="6">
        <v>1</v>
      </c>
      <c r="P4" s="6"/>
      <c r="Q4" s="6"/>
    </row>
    <row r="5" spans="1:17" x14ac:dyDescent="0.15">
      <c r="A5" s="1" t="s">
        <v>5</v>
      </c>
      <c r="B5" s="14">
        <f>'Table 1'!B8</f>
        <v>1171</v>
      </c>
      <c r="C5" s="14">
        <f>'Table 1'!C8</f>
        <v>7314</v>
      </c>
      <c r="D5" s="14"/>
      <c r="E5" s="6">
        <f>'Table 1'!E8</f>
        <v>0.16</v>
      </c>
      <c r="F5" s="6"/>
      <c r="G5" s="15">
        <f>'Table 1'!I8</f>
        <v>6.0999999999999999E-2</v>
      </c>
      <c r="H5" s="15">
        <f>'Table 1'!J8</f>
        <v>5.1999999999999998E-2</v>
      </c>
      <c r="I5" s="15">
        <f>'Table 1'!K8</f>
        <v>7.0000000000000007E-2</v>
      </c>
      <c r="J5" s="6"/>
      <c r="K5" s="6">
        <f>'Table 1'!M8</f>
        <v>1.61</v>
      </c>
      <c r="L5" s="6">
        <f>'Table 1'!N8</f>
        <v>1.52</v>
      </c>
      <c r="M5" s="6">
        <f>'Table 1'!O8</f>
        <v>1.72</v>
      </c>
      <c r="N5" s="6"/>
      <c r="O5" s="6">
        <f>'Table 1'!Q8</f>
        <v>1.73</v>
      </c>
      <c r="P5" s="6">
        <f>'Table 1'!R8</f>
        <v>1.61</v>
      </c>
      <c r="Q5" s="6">
        <f>'Table 1'!S8</f>
        <v>1.86</v>
      </c>
    </row>
    <row r="6" spans="1:17" x14ac:dyDescent="0.15">
      <c r="A6" s="1" t="s">
        <v>6</v>
      </c>
      <c r="B6" s="14">
        <f>'Table 1'!B9</f>
        <v>50</v>
      </c>
      <c r="C6" s="14">
        <f>'Table 1'!C9</f>
        <v>332</v>
      </c>
      <c r="D6" s="14"/>
      <c r="E6" s="6">
        <f>'Table 1'!E9</f>
        <v>0.15060000000000001</v>
      </c>
      <c r="F6" s="6"/>
      <c r="G6" s="15">
        <f>'Table 1'!I9</f>
        <v>5.1400000000000001E-2</v>
      </c>
      <c r="H6" s="15">
        <f>'Table 1'!J9</f>
        <v>1.2800000000000001E-2</v>
      </c>
      <c r="I6" s="15">
        <f>'Table 1'!K9</f>
        <v>0.09</v>
      </c>
      <c r="J6" s="6"/>
      <c r="K6" s="6">
        <f>'Table 1'!M9</f>
        <v>1.5183</v>
      </c>
      <c r="L6" s="6">
        <f>'Table 1'!N9</f>
        <v>1.1735</v>
      </c>
      <c r="M6" s="6">
        <f>'Table 1'!O9</f>
        <v>1.9643999999999999</v>
      </c>
      <c r="N6" s="6"/>
      <c r="O6" s="6">
        <f>'Table 1'!Q9</f>
        <v>1.6102000000000001</v>
      </c>
      <c r="P6" s="6">
        <f>'Table 1'!R9</f>
        <v>1.1893</v>
      </c>
      <c r="Q6" s="6">
        <f>'Table 1'!S9</f>
        <v>2.1800000000000002</v>
      </c>
    </row>
    <row r="7" spans="1:17" x14ac:dyDescent="0.15">
      <c r="A7" s="1" t="s">
        <v>7</v>
      </c>
      <c r="B7" s="14">
        <f>'Table 1'!B10</f>
        <v>164</v>
      </c>
      <c r="C7" s="14">
        <f>'Table 1'!C10</f>
        <v>1737</v>
      </c>
      <c r="D7" s="14"/>
      <c r="E7" s="6">
        <f>'Table 1'!E10</f>
        <v>9.4399999999999998E-2</v>
      </c>
      <c r="F7" s="6"/>
      <c r="G7" s="15">
        <f>'Table 1'!I10</f>
        <v>-4.7999999999999996E-3</v>
      </c>
      <c r="H7" s="15">
        <f>'Table 1'!J10</f>
        <v>-1.89E-2</v>
      </c>
      <c r="I7" s="15">
        <f>'Table 1'!K10</f>
        <v>9.4000000000000004E-3</v>
      </c>
      <c r="J7" s="6"/>
      <c r="K7" s="6">
        <f>'Table 1'!M10</f>
        <v>0.95179999999999998</v>
      </c>
      <c r="L7" s="6">
        <f>'Table 1'!N10</f>
        <v>0.81979999999999997</v>
      </c>
      <c r="M7" s="6">
        <f>'Table 1'!O10</f>
        <v>1.1052</v>
      </c>
      <c r="N7" s="6"/>
      <c r="O7" s="6">
        <f>'Table 1'!Q10</f>
        <v>0.94679999999999997</v>
      </c>
      <c r="P7" s="6">
        <f>'Table 1'!R10</f>
        <v>0.80279999999999996</v>
      </c>
      <c r="Q7" s="6">
        <f>'Table 1'!S10</f>
        <v>1.1166</v>
      </c>
    </row>
    <row r="8" spans="1:17" x14ac:dyDescent="0.15">
      <c r="A8" s="1" t="s">
        <v>8</v>
      </c>
      <c r="B8" s="14">
        <f>'Table 1'!B11</f>
        <v>6</v>
      </c>
      <c r="C8" s="14">
        <f>'Table 1'!C11</f>
        <v>60</v>
      </c>
      <c r="D8" s="14"/>
      <c r="E8" s="6">
        <f>'Table 1'!E11</f>
        <v>0.1</v>
      </c>
      <c r="F8" s="6"/>
      <c r="G8" s="15">
        <f>'Table 1'!I11</f>
        <v>8.0000000000000004E-4</v>
      </c>
      <c r="H8" s="15">
        <f>'Table 1'!J11</f>
        <v>-7.5200000000000003E-2</v>
      </c>
      <c r="I8" s="15">
        <f>'Table 1'!K11</f>
        <v>7.6799999999999993E-2</v>
      </c>
      <c r="J8" s="6"/>
      <c r="K8" s="6">
        <f>'Table 1'!M11</f>
        <v>1.0081</v>
      </c>
      <c r="L8" s="6">
        <f>'Table 1'!N11</f>
        <v>0.47160000000000002</v>
      </c>
      <c r="M8" s="6">
        <f>'Table 1'!O11</f>
        <v>2.1553</v>
      </c>
      <c r="N8" s="6"/>
      <c r="O8" s="6">
        <f>'Table 1'!Q11</f>
        <v>1.0089999999999999</v>
      </c>
      <c r="P8" s="6">
        <f>'Table 1'!R11</f>
        <v>0.43380000000000002</v>
      </c>
      <c r="Q8" s="6">
        <f>'Table 1'!S11</f>
        <v>2.3472</v>
      </c>
    </row>
    <row r="9" spans="1:17" x14ac:dyDescent="0.15">
      <c r="A9" s="1" t="s">
        <v>9</v>
      </c>
      <c r="B9" s="14">
        <f>'Table 1'!B12</f>
        <v>1632</v>
      </c>
      <c r="C9" s="14">
        <f>'Table 1'!C12</f>
        <v>13512</v>
      </c>
      <c r="D9" s="14"/>
      <c r="E9" s="6">
        <f>'Table 1'!E12</f>
        <v>0.12</v>
      </c>
      <c r="F9" s="6"/>
      <c r="G9" s="15">
        <f>'Table 1'!I12</f>
        <v>2.1999999999999999E-2</v>
      </c>
      <c r="H9" s="15">
        <f>'Table 1'!J12</f>
        <v>1.4999999999999999E-2</v>
      </c>
      <c r="I9" s="15">
        <f>'Table 1'!K12</f>
        <v>2.8000000000000001E-2</v>
      </c>
      <c r="J9" s="6"/>
      <c r="K9" s="6">
        <f>'Table 1'!M12</f>
        <v>1.22</v>
      </c>
      <c r="L9" s="6">
        <f>'Table 1'!N12</f>
        <v>1.1499999999999999</v>
      </c>
      <c r="M9" s="6">
        <f>'Table 1'!O12</f>
        <v>1.29</v>
      </c>
      <c r="N9" s="6"/>
      <c r="O9" s="6">
        <f>'Table 1'!Q12</f>
        <v>1.25</v>
      </c>
      <c r="P9" s="6">
        <f>'Table 1'!R12</f>
        <v>1.17</v>
      </c>
      <c r="Q9" s="6">
        <f>'Table 1'!S12</f>
        <v>1.33</v>
      </c>
    </row>
    <row r="10" spans="1:17" x14ac:dyDescent="0.15">
      <c r="A10" s="1" t="s">
        <v>10</v>
      </c>
      <c r="B10" s="14">
        <f>'Table 1'!B13</f>
        <v>84</v>
      </c>
      <c r="C10" s="14">
        <f>'Table 1'!C13</f>
        <v>612</v>
      </c>
      <c r="D10" s="14"/>
      <c r="E10" s="6">
        <f>'Table 1'!E13</f>
        <v>0.13730000000000001</v>
      </c>
      <c r="F10" s="6"/>
      <c r="G10" s="15">
        <f>'Table 1'!I13</f>
        <v>3.8100000000000002E-2</v>
      </c>
      <c r="H10" s="15">
        <f>'Table 1'!J13</f>
        <v>1.06E-2</v>
      </c>
      <c r="I10" s="15">
        <f>'Table 1'!K13</f>
        <v>6.5500000000000003E-2</v>
      </c>
      <c r="J10" s="6"/>
      <c r="K10" s="6">
        <f>'Table 1'!M13</f>
        <v>1.3836999999999999</v>
      </c>
      <c r="L10" s="6">
        <f>'Table 1'!N13</f>
        <v>1.1314</v>
      </c>
      <c r="M10" s="6">
        <f>'Table 1'!O13</f>
        <v>1.6923999999999999</v>
      </c>
      <c r="N10" s="6"/>
      <c r="O10" s="6">
        <f>'Table 1'!Q13</f>
        <v>1.4448000000000001</v>
      </c>
      <c r="P10" s="6">
        <f>'Table 1'!R13</f>
        <v>1.1443000000000001</v>
      </c>
      <c r="Q10" s="6">
        <f>'Table 1'!S13</f>
        <v>1.8241000000000001</v>
      </c>
    </row>
    <row r="11" spans="1:17" x14ac:dyDescent="0.15">
      <c r="A11" t="s">
        <v>32</v>
      </c>
      <c r="B11" s="9"/>
      <c r="C11" s="9"/>
      <c r="D11" s="9"/>
      <c r="E11" s="10"/>
      <c r="F11" s="10"/>
      <c r="G11" s="12"/>
      <c r="H11" s="12"/>
      <c r="I11" s="12"/>
      <c r="J11" s="10"/>
      <c r="K11" s="10"/>
      <c r="L11" s="10"/>
      <c r="M11" s="10"/>
      <c r="N11" s="10"/>
      <c r="O11" s="10"/>
      <c r="P11" s="10"/>
      <c r="Q11" s="10"/>
    </row>
    <row r="12" spans="1:17" ht="15" x14ac:dyDescent="0.15">
      <c r="A12" s="13" t="s">
        <v>28</v>
      </c>
      <c r="B12" s="9">
        <v>4630</v>
      </c>
      <c r="C12" s="9">
        <v>41930</v>
      </c>
      <c r="D12" s="9"/>
      <c r="E12" s="10">
        <v>0.11</v>
      </c>
      <c r="F12" s="10"/>
      <c r="G12" s="20">
        <v>0</v>
      </c>
      <c r="H12" s="20"/>
      <c r="I12" s="20"/>
      <c r="J12" s="19"/>
      <c r="K12" s="19">
        <v>1</v>
      </c>
      <c r="L12" s="19"/>
      <c r="M12" s="19"/>
      <c r="N12" s="19"/>
      <c r="O12" s="19">
        <v>1</v>
      </c>
      <c r="P12" s="10"/>
      <c r="Q12" s="10"/>
    </row>
    <row r="13" spans="1:17" x14ac:dyDescent="0.15">
      <c r="A13" s="1" t="s">
        <v>9</v>
      </c>
      <c r="B13" s="9">
        <v>1644</v>
      </c>
      <c r="C13" s="9">
        <v>13571</v>
      </c>
      <c r="D13" s="9"/>
      <c r="E13" s="10">
        <v>0.1211</v>
      </c>
      <c r="F13" s="10"/>
      <c r="G13" s="12">
        <v>9.5999999999999992E-3</v>
      </c>
      <c r="H13" s="12">
        <v>4.4279999999999996E-3</v>
      </c>
      <c r="I13" s="12">
        <v>1.6972000000000001E-2</v>
      </c>
      <c r="J13" s="10"/>
      <c r="K13" s="10">
        <v>1.0970228383592084</v>
      </c>
      <c r="L13" s="10">
        <v>1.0404777680284745</v>
      </c>
      <c r="M13" s="10">
        <v>1.1566408671682058</v>
      </c>
      <c r="N13" s="10"/>
      <c r="O13" s="10">
        <v>1.1104884904463654</v>
      </c>
      <c r="P13" s="10">
        <v>1.045843775205302</v>
      </c>
      <c r="Q13" s="10">
        <v>1.1791289642392047</v>
      </c>
    </row>
    <row r="14" spans="1:17" x14ac:dyDescent="0.15">
      <c r="A14" t="s">
        <v>31</v>
      </c>
      <c r="B14" s="9"/>
      <c r="C14" s="9"/>
      <c r="D14" s="9"/>
      <c r="E14" s="10"/>
      <c r="F14" s="10"/>
      <c r="G14" s="12"/>
      <c r="H14" s="12"/>
      <c r="I14" s="12"/>
      <c r="J14" s="10"/>
      <c r="K14" s="10"/>
      <c r="L14" s="10"/>
      <c r="M14" s="10"/>
      <c r="N14" s="10"/>
      <c r="O14" s="10"/>
      <c r="P14" s="10"/>
      <c r="Q14" s="10"/>
    </row>
    <row r="15" spans="1:17" ht="15" x14ac:dyDescent="0.15">
      <c r="A15" s="13" t="s">
        <v>28</v>
      </c>
      <c r="B15" s="9">
        <v>3168</v>
      </c>
      <c r="C15" s="9">
        <v>31938</v>
      </c>
      <c r="D15" s="9"/>
      <c r="E15" s="10">
        <v>0.1</v>
      </c>
      <c r="F15" s="10"/>
      <c r="G15" s="20">
        <v>0</v>
      </c>
      <c r="H15" s="20"/>
      <c r="I15" s="20"/>
      <c r="J15" s="19"/>
      <c r="K15" s="19">
        <v>1</v>
      </c>
      <c r="L15" s="19"/>
      <c r="M15" s="19"/>
      <c r="N15" s="19"/>
      <c r="O15" s="19">
        <v>1</v>
      </c>
      <c r="P15" s="10"/>
      <c r="Q15" s="10"/>
    </row>
    <row r="16" spans="1:17" x14ac:dyDescent="0.15">
      <c r="A16" s="1" t="s">
        <v>9</v>
      </c>
      <c r="B16" s="9">
        <v>1539</v>
      </c>
      <c r="C16" s="9">
        <v>12669</v>
      </c>
      <c r="D16" s="9"/>
      <c r="E16" s="10">
        <v>0.1215</v>
      </c>
      <c r="F16" s="10"/>
      <c r="G16" s="12">
        <v>2.23E-2</v>
      </c>
      <c r="H16" s="12">
        <v>1.5831999999999999E-2</v>
      </c>
      <c r="I16" s="12">
        <v>2.8768000000000002E-2</v>
      </c>
      <c r="J16" s="10"/>
      <c r="K16" s="10">
        <v>1.2247050016297736</v>
      </c>
      <c r="L16" s="10">
        <v>1.1565807234068644</v>
      </c>
      <c r="M16" s="10">
        <v>1.296841898418313</v>
      </c>
      <c r="N16" s="10"/>
      <c r="O16" s="10">
        <v>1.2557085563529022</v>
      </c>
      <c r="P16" s="10">
        <v>1.1770602306576696</v>
      </c>
      <c r="Q16" s="10">
        <v>1.3396119734814822</v>
      </c>
    </row>
    <row r="17" spans="1:17" x14ac:dyDescent="0.15">
      <c r="A17" t="s">
        <v>43</v>
      </c>
      <c r="B17" s="9"/>
      <c r="C17" s="9"/>
      <c r="D17" s="9"/>
      <c r="E17" s="10"/>
      <c r="F17" s="10"/>
      <c r="G17" s="12"/>
      <c r="H17" s="12"/>
      <c r="I17" s="12"/>
      <c r="J17" s="10"/>
      <c r="K17" s="10"/>
      <c r="L17" s="10"/>
      <c r="M17" s="10"/>
      <c r="N17" s="10"/>
      <c r="O17" s="10"/>
      <c r="P17" s="10"/>
      <c r="Q17" s="10"/>
    </row>
    <row r="18" spans="1:17" ht="15" x14ac:dyDescent="0.15">
      <c r="A18" s="1" t="s">
        <v>29</v>
      </c>
      <c r="B18" s="14">
        <v>3168</v>
      </c>
      <c r="C18" s="14">
        <v>31938</v>
      </c>
      <c r="D18" s="9"/>
      <c r="E18" s="10">
        <v>0.1</v>
      </c>
      <c r="F18" s="10"/>
      <c r="G18" s="20">
        <v>0</v>
      </c>
      <c r="H18" s="20"/>
      <c r="I18" s="20"/>
      <c r="J18" s="19"/>
      <c r="K18" s="19">
        <v>1</v>
      </c>
      <c r="L18" s="10"/>
      <c r="M18" s="10"/>
      <c r="N18" s="19"/>
      <c r="O18" s="19">
        <v>1</v>
      </c>
      <c r="P18" s="10"/>
      <c r="Q18" s="10"/>
    </row>
    <row r="19" spans="1:17" x14ac:dyDescent="0.15">
      <c r="A19" s="1" t="s">
        <v>22</v>
      </c>
      <c r="B19" s="14">
        <v>1021</v>
      </c>
      <c r="C19" s="14">
        <v>8666</v>
      </c>
      <c r="D19" s="9"/>
      <c r="E19" s="10">
        <v>0.1178</v>
      </c>
      <c r="F19" s="10"/>
      <c r="G19" s="12">
        <v>1.8599999999999998E-2</v>
      </c>
      <c r="H19" s="12">
        <v>1.1151999999999999E-2</v>
      </c>
      <c r="I19" s="12">
        <v>2.6047999999999998E-2</v>
      </c>
      <c r="J19" s="10"/>
      <c r="K19" s="10">
        <v>1.1877966069358143</v>
      </c>
      <c r="L19" s="10">
        <v>1.1114394755577468</v>
      </c>
      <c r="M19" s="10">
        <v>1.2693995583882154</v>
      </c>
      <c r="N19" s="10"/>
      <c r="O19" s="10">
        <v>1.2128827935191195</v>
      </c>
      <c r="P19" s="10">
        <v>1.1253881518319904</v>
      </c>
      <c r="Q19" s="10">
        <v>1.3071798102903449</v>
      </c>
    </row>
    <row r="20" spans="1:17" x14ac:dyDescent="0.15">
      <c r="A20" s="1" t="s">
        <v>23</v>
      </c>
      <c r="B20" s="14">
        <v>130</v>
      </c>
      <c r="C20" s="14">
        <v>959</v>
      </c>
      <c r="D20" s="9"/>
      <c r="E20" s="10">
        <v>0.1356</v>
      </c>
      <c r="F20" s="10"/>
      <c r="G20" s="12">
        <v>3.6400000000000002E-2</v>
      </c>
      <c r="H20" s="12">
        <v>1.4448000000000003E-2</v>
      </c>
      <c r="I20" s="12">
        <v>5.8352000000000001E-2</v>
      </c>
      <c r="J20" s="10"/>
      <c r="K20" s="10">
        <v>1.3665646009204981</v>
      </c>
      <c r="L20" s="10">
        <v>1.1607101313390111</v>
      </c>
      <c r="M20" s="10">
        <v>1.6089278089910595</v>
      </c>
      <c r="N20" s="10"/>
      <c r="O20" s="10">
        <v>1.424042986951368</v>
      </c>
      <c r="P20" s="10">
        <v>1.1793317918637294</v>
      </c>
      <c r="Q20" s="10">
        <v>1.7195317235369634</v>
      </c>
    </row>
    <row r="21" spans="1:17" x14ac:dyDescent="0.15">
      <c r="A21" s="1" t="s">
        <v>24</v>
      </c>
      <c r="B21" s="14">
        <v>43</v>
      </c>
      <c r="C21" s="14">
        <v>487</v>
      </c>
      <c r="D21" s="9"/>
      <c r="E21" s="10">
        <v>8.829999999999999E-2</v>
      </c>
      <c r="F21" s="10"/>
      <c r="G21" s="12">
        <v>-1.0900000000000007E-2</v>
      </c>
      <c r="H21" s="12">
        <v>-3.6379999999999996E-2</v>
      </c>
      <c r="I21" s="12">
        <v>1.4579999999999999E-2</v>
      </c>
      <c r="J21" s="10"/>
      <c r="K21" s="10">
        <v>0.89011910443667397</v>
      </c>
      <c r="L21" s="10">
        <v>0.66782040258505371</v>
      </c>
      <c r="M21" s="10">
        <v>1.1864148160436556</v>
      </c>
      <c r="N21" s="10"/>
      <c r="O21" s="10">
        <v>0.87950150817187212</v>
      </c>
      <c r="P21" s="10">
        <v>0.64174259375415887</v>
      </c>
      <c r="Q21" s="10">
        <v>1.2053476119631257</v>
      </c>
    </row>
    <row r="22" spans="1:17" x14ac:dyDescent="0.15">
      <c r="A22" s="1" t="s">
        <v>30</v>
      </c>
      <c r="B22" s="14">
        <v>246</v>
      </c>
      <c r="C22" s="14">
        <v>1999</v>
      </c>
      <c r="D22" s="14"/>
      <c r="E22" s="10">
        <v>0.1231</v>
      </c>
      <c r="F22" s="6"/>
      <c r="G22" s="12">
        <v>2.3900000000000005E-2</v>
      </c>
      <c r="H22" s="12">
        <v>9.2000000000000016E-3</v>
      </c>
      <c r="I22" s="12">
        <v>3.8600000000000002E-2</v>
      </c>
      <c r="J22" s="6"/>
      <c r="K22" s="10">
        <v>1.2406060373240246</v>
      </c>
      <c r="L22" s="10">
        <v>1.0986476342123321</v>
      </c>
      <c r="M22" s="10">
        <v>1.4009071625119085</v>
      </c>
      <c r="N22" s="6"/>
      <c r="O22" s="10">
        <v>1.2744312491634178</v>
      </c>
      <c r="P22" s="10">
        <v>1.1097380539029529</v>
      </c>
      <c r="Q22" s="10">
        <v>1.4635661119594843</v>
      </c>
    </row>
    <row r="23" spans="1:17" x14ac:dyDescent="0.15">
      <c r="A23" s="8" t="s">
        <v>40</v>
      </c>
      <c r="B23" s="16">
        <v>192</v>
      </c>
      <c r="C23" s="16">
        <v>1401</v>
      </c>
      <c r="D23" s="16"/>
      <c r="E23" s="17">
        <v>0.1371</v>
      </c>
      <c r="F23" s="21"/>
      <c r="G23" s="18">
        <v>3.7900000000000003E-2</v>
      </c>
      <c r="H23" s="18">
        <v>1.9672000000000005E-2</v>
      </c>
      <c r="I23" s="18">
        <v>5.6127999999999997E-2</v>
      </c>
      <c r="J23" s="21"/>
      <c r="K23" s="17">
        <v>1.3815416316029598</v>
      </c>
      <c r="L23" s="17">
        <v>1.206548736245239</v>
      </c>
      <c r="M23" s="17">
        <v>1.5819147809908456</v>
      </c>
      <c r="N23" s="21"/>
      <c r="O23" s="17">
        <v>1.4422436625440747</v>
      </c>
      <c r="P23" s="17">
        <v>1.2331797546849632</v>
      </c>
      <c r="Q23" s="17">
        <v>1.6867506738139202</v>
      </c>
    </row>
    <row r="24" spans="1:17" x14ac:dyDescent="0.15">
      <c r="A24" s="42" t="s">
        <v>14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7" ht="15" x14ac:dyDescent="0.15">
      <c r="A25" s="41" t="s">
        <v>15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ht="15" x14ac:dyDescent="0.15">
      <c r="A26" t="s">
        <v>26</v>
      </c>
      <c r="E26" s="6"/>
      <c r="F26" s="2"/>
      <c r="G26" s="6"/>
      <c r="H26" s="6"/>
      <c r="K26" s="6"/>
      <c r="L26" s="6"/>
      <c r="O26" s="6"/>
      <c r="P26" s="6"/>
    </row>
    <row r="27" spans="1:17" x14ac:dyDescent="0.15">
      <c r="E27" s="6"/>
      <c r="F27" s="2"/>
      <c r="G27" s="6"/>
      <c r="H27" s="6"/>
      <c r="K27" s="6"/>
      <c r="L27" s="6"/>
      <c r="O27" s="6"/>
      <c r="P27" s="6"/>
    </row>
    <row r="28" spans="1:17" x14ac:dyDescent="0.15">
      <c r="A28" s="39"/>
      <c r="B28" s="40"/>
      <c r="C28" s="40"/>
      <c r="D28" s="40"/>
    </row>
    <row r="29" spans="1:17" x14ac:dyDescent="0.15">
      <c r="A29" s="39"/>
      <c r="B29" s="40"/>
      <c r="C29" s="40"/>
      <c r="D29" s="40"/>
      <c r="E29" s="40"/>
      <c r="F29" s="40"/>
      <c r="G29" s="40"/>
      <c r="H29" s="40"/>
    </row>
    <row r="30" spans="1:17" x14ac:dyDescent="0.15">
      <c r="A30" s="39"/>
      <c r="B30" s="40"/>
      <c r="C30" s="40"/>
      <c r="D30" s="40"/>
      <c r="E30" s="40"/>
      <c r="F30" s="40"/>
      <c r="G30" s="40"/>
      <c r="H30" s="40"/>
    </row>
    <row r="31" spans="1:17" x14ac:dyDescent="0.15">
      <c r="A31" s="39"/>
      <c r="B31" s="40"/>
      <c r="C31" s="40"/>
      <c r="D31" s="40"/>
      <c r="E31" s="40"/>
      <c r="F31" s="40"/>
      <c r="G31" s="40"/>
      <c r="H31" s="40"/>
    </row>
    <row r="32" spans="1:17" x14ac:dyDescent="0.15">
      <c r="A32" s="39"/>
      <c r="B32" s="40"/>
      <c r="C32" s="40"/>
      <c r="D32" s="40"/>
      <c r="E32" s="40"/>
      <c r="F32" s="40"/>
      <c r="G32" s="40"/>
      <c r="H32" s="40"/>
    </row>
    <row r="33" spans="1:8" x14ac:dyDescent="0.15">
      <c r="A33" s="39"/>
      <c r="B33" s="40"/>
      <c r="C33" s="40"/>
      <c r="D33" s="40"/>
      <c r="E33" s="40"/>
      <c r="F33" s="40"/>
      <c r="G33" s="40"/>
      <c r="H33" s="40"/>
    </row>
    <row r="34" spans="1:8" x14ac:dyDescent="0.15">
      <c r="A34" s="39"/>
      <c r="B34" s="40"/>
      <c r="C34" s="40"/>
      <c r="D34" s="40"/>
      <c r="E34" s="40"/>
      <c r="F34" s="40"/>
      <c r="G34" s="40"/>
      <c r="H34" s="40"/>
    </row>
    <row r="35" spans="1:8" x14ac:dyDescent="0.15">
      <c r="A35" s="39"/>
      <c r="B35" s="40"/>
      <c r="C35" s="40"/>
      <c r="D35" s="40"/>
      <c r="E35" s="40"/>
      <c r="F35" s="40"/>
      <c r="G35" s="40"/>
    </row>
    <row r="36" spans="1:8" x14ac:dyDescent="0.15">
      <c r="A36" s="39"/>
      <c r="B36" s="40"/>
      <c r="C36" s="40"/>
      <c r="D36" s="40"/>
    </row>
    <row r="37" spans="1:8" x14ac:dyDescent="0.15">
      <c r="A37" s="39"/>
      <c r="B37" s="40"/>
      <c r="C37" s="40"/>
      <c r="D37" s="40"/>
      <c r="E37" s="40"/>
      <c r="F37" s="40"/>
      <c r="G37" s="40"/>
      <c r="H37" s="40"/>
    </row>
    <row r="38" spans="1:8" x14ac:dyDescent="0.15">
      <c r="A38" s="39"/>
      <c r="B38" s="40"/>
      <c r="C38" s="40"/>
      <c r="D38" s="40"/>
      <c r="E38" s="40"/>
      <c r="F38" s="40"/>
      <c r="G38" s="40"/>
      <c r="H38" s="40"/>
    </row>
    <row r="39" spans="1:8" x14ac:dyDescent="0.15">
      <c r="A39" s="39"/>
      <c r="B39" s="40"/>
      <c r="C39" s="40"/>
      <c r="D39" s="40"/>
      <c r="E39" s="40"/>
      <c r="F39" s="40"/>
      <c r="G39" s="40"/>
      <c r="H39" s="40"/>
    </row>
    <row r="40" spans="1:8" x14ac:dyDescent="0.15">
      <c r="A40" s="39"/>
      <c r="B40" s="40"/>
      <c r="C40" s="40"/>
      <c r="D40" s="40"/>
      <c r="E40" s="40"/>
      <c r="F40" s="40"/>
      <c r="G40" s="40"/>
      <c r="H40" s="40"/>
    </row>
    <row r="41" spans="1:8" x14ac:dyDescent="0.15">
      <c r="E41" s="40"/>
      <c r="F41" s="40"/>
      <c r="G41" s="40"/>
      <c r="H41" s="40"/>
    </row>
    <row r="42" spans="1:8" x14ac:dyDescent="0.15">
      <c r="E42" s="40"/>
      <c r="F42" s="40"/>
      <c r="G42" s="40"/>
      <c r="H42" s="40"/>
    </row>
    <row r="43" spans="1:8" x14ac:dyDescent="0.15">
      <c r="E43" s="40"/>
      <c r="F43" s="40"/>
      <c r="G43" s="40"/>
    </row>
    <row r="44" spans="1:8" x14ac:dyDescent="0.15">
      <c r="E44" s="40"/>
      <c r="F44" s="40"/>
      <c r="G44" s="40"/>
      <c r="H44" s="40"/>
    </row>
    <row r="45" spans="1:8" x14ac:dyDescent="0.15">
      <c r="E45" s="40"/>
      <c r="F45" s="40"/>
      <c r="G45" s="40"/>
      <c r="H45" s="40"/>
    </row>
    <row r="46" spans="1:8" x14ac:dyDescent="0.15">
      <c r="E46" s="40"/>
      <c r="F46" s="40"/>
      <c r="G46" s="40"/>
      <c r="H46" s="40"/>
    </row>
    <row r="47" spans="1:8" x14ac:dyDescent="0.15">
      <c r="E47" s="40"/>
      <c r="F47" s="40"/>
      <c r="G47" s="40"/>
      <c r="H47" s="40"/>
    </row>
    <row r="48" spans="1:8" x14ac:dyDescent="0.15">
      <c r="E48" s="40"/>
      <c r="F48" s="40"/>
      <c r="G48" s="40"/>
      <c r="H48" s="40"/>
    </row>
    <row r="49" spans="1:8" x14ac:dyDescent="0.15">
      <c r="E49" s="40"/>
      <c r="F49" s="40"/>
      <c r="G49" s="40"/>
      <c r="H49" s="40"/>
    </row>
    <row r="50" spans="1:8" x14ac:dyDescent="0.15">
      <c r="A50" s="39"/>
      <c r="B50" s="40"/>
      <c r="C50" s="40"/>
      <c r="D50" s="40"/>
      <c r="E50" s="40"/>
      <c r="F50" s="40"/>
      <c r="G50" s="40"/>
    </row>
  </sheetData>
  <mergeCells count="6">
    <mergeCell ref="A25:Q25"/>
    <mergeCell ref="A1:Q1"/>
    <mergeCell ref="H2:I2"/>
    <mergeCell ref="L2:M2"/>
    <mergeCell ref="P2:Q2"/>
    <mergeCell ref="A24:Q24"/>
  </mergeCells>
  <printOptions horizontalCentered="1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zoomScale="101" workbookViewId="0">
      <selection activeCell="E20" sqref="E20:G20"/>
    </sheetView>
  </sheetViews>
  <sheetFormatPr baseColWidth="10" defaultColWidth="8.83203125" defaultRowHeight="13" x14ac:dyDescent="0.15"/>
  <cols>
    <col min="1" max="1" width="28" customWidth="1"/>
    <col min="2" max="2" width="8.33203125" bestFit="1" customWidth="1"/>
    <col min="3" max="3" width="7.33203125" customWidth="1"/>
    <col min="4" max="4" width="1.6640625" customWidth="1"/>
    <col min="5" max="5" width="5.5" style="6" customWidth="1"/>
    <col min="6" max="6" width="4.5" style="6" customWidth="1"/>
    <col min="7" max="7" width="5.5" customWidth="1"/>
    <col min="8" max="8" width="9" customWidth="1"/>
    <col min="10" max="11" width="4.5" bestFit="1" customWidth="1"/>
  </cols>
  <sheetData>
    <row r="1" spans="1:7" ht="30" customHeight="1" x14ac:dyDescent="0.15">
      <c r="A1" s="43" t="s">
        <v>47</v>
      </c>
      <c r="B1" s="43"/>
      <c r="C1" s="43"/>
      <c r="D1" s="43"/>
      <c r="E1" s="43"/>
      <c r="F1" s="43"/>
      <c r="G1" s="43"/>
    </row>
    <row r="2" spans="1:7" ht="56" x14ac:dyDescent="0.15">
      <c r="A2" s="3"/>
      <c r="B2" s="4" t="s">
        <v>38</v>
      </c>
      <c r="C2" s="4" t="s">
        <v>39</v>
      </c>
      <c r="D2" s="4"/>
      <c r="E2" s="7" t="s">
        <v>2</v>
      </c>
      <c r="F2" s="44" t="s">
        <v>11</v>
      </c>
      <c r="G2" s="44"/>
    </row>
    <row r="3" spans="1:7" ht="12.75" customHeight="1" x14ac:dyDescent="0.15">
      <c r="A3" t="s">
        <v>42</v>
      </c>
      <c r="B3" s="9"/>
      <c r="C3" s="9"/>
      <c r="D3" s="10"/>
      <c r="E3" s="10"/>
      <c r="F3" s="10"/>
      <c r="G3" s="10"/>
    </row>
    <row r="4" spans="1:7" ht="14.25" customHeight="1" x14ac:dyDescent="0.15">
      <c r="A4" s="1" t="s">
        <v>37</v>
      </c>
      <c r="B4" s="9">
        <v>27879</v>
      </c>
      <c r="C4" s="9">
        <v>4059</v>
      </c>
      <c r="D4" s="19"/>
      <c r="E4" s="19">
        <v>1</v>
      </c>
      <c r="F4" s="10"/>
      <c r="G4" s="10"/>
    </row>
    <row r="5" spans="1:7" ht="12.75" customHeight="1" x14ac:dyDescent="0.15">
      <c r="A5" s="1" t="s">
        <v>5</v>
      </c>
      <c r="B5" s="22">
        <v>5353</v>
      </c>
      <c r="C5" s="22">
        <v>1961</v>
      </c>
      <c r="D5" s="19"/>
      <c r="E5" s="19">
        <v>0.39739999999999998</v>
      </c>
      <c r="F5" s="19">
        <v>0.37380000000000002</v>
      </c>
      <c r="G5" s="19">
        <v>0.42259999999999998</v>
      </c>
    </row>
    <row r="6" spans="1:7" ht="12.75" customHeight="1" x14ac:dyDescent="0.15">
      <c r="A6" s="1" t="s">
        <v>6</v>
      </c>
      <c r="B6" s="22">
        <v>229</v>
      </c>
      <c r="C6" s="22">
        <v>103</v>
      </c>
      <c r="D6" s="19"/>
      <c r="E6" s="19">
        <v>0.32369999999999999</v>
      </c>
      <c r="F6" s="19">
        <v>0.25590000000000002</v>
      </c>
      <c r="G6" s="19">
        <v>0.40939999999999999</v>
      </c>
    </row>
    <row r="7" spans="1:7" ht="12.75" customHeight="1" x14ac:dyDescent="0.15">
      <c r="A7" s="1" t="s">
        <v>7</v>
      </c>
      <c r="B7" s="9">
        <v>1497</v>
      </c>
      <c r="C7" s="9">
        <v>240</v>
      </c>
      <c r="D7" s="10"/>
      <c r="E7" s="10">
        <v>0.90810000000000002</v>
      </c>
      <c r="F7" s="10">
        <f>EXP(-0.0964-1.96*0.0715)</f>
        <v>0.78935430749817714</v>
      </c>
      <c r="G7" s="10">
        <f>EXP(-0.0964+1.96*0.0715)</f>
        <v>1.0447106947935154</v>
      </c>
    </row>
    <row r="8" spans="1:7" ht="12.75" customHeight="1" x14ac:dyDescent="0.15">
      <c r="A8" s="1" t="s">
        <v>8</v>
      </c>
      <c r="B8" s="14">
        <v>36</v>
      </c>
      <c r="C8" s="14">
        <v>24</v>
      </c>
      <c r="D8" s="6"/>
      <c r="E8" s="19">
        <v>0.21840000000000001</v>
      </c>
      <c r="F8" s="19">
        <v>0.13020000000000001</v>
      </c>
      <c r="G8" s="19">
        <v>0.3664</v>
      </c>
    </row>
    <row r="9" spans="1:7" ht="12.75" customHeight="1" x14ac:dyDescent="0.15">
      <c r="A9" s="1" t="s">
        <v>9</v>
      </c>
      <c r="B9" s="22">
        <v>9885</v>
      </c>
      <c r="C9" s="22">
        <v>3627</v>
      </c>
      <c r="D9" s="19"/>
      <c r="E9" s="19">
        <v>0.39679999999999999</v>
      </c>
      <c r="F9" s="19">
        <v>0.37730000000000002</v>
      </c>
      <c r="G9" s="19">
        <v>0.4173</v>
      </c>
    </row>
    <row r="10" spans="1:7" ht="13.5" customHeight="1" x14ac:dyDescent="0.15">
      <c r="A10" s="1" t="s">
        <v>10</v>
      </c>
      <c r="B10" s="9">
        <v>503</v>
      </c>
      <c r="C10" s="9">
        <v>109</v>
      </c>
      <c r="D10" s="10"/>
      <c r="E10" s="10">
        <v>0.67179999999999995</v>
      </c>
      <c r="F10" s="10">
        <f>EXP(-0.3977-1.96*0.107)</f>
        <v>0.54475452425328519</v>
      </c>
      <c r="G10" s="10">
        <f>EXP(-0.3977+1.96*0.107)</f>
        <v>0.82863127969254935</v>
      </c>
    </row>
    <row r="11" spans="1:7" ht="16.5" customHeight="1" x14ac:dyDescent="0.15">
      <c r="A11" t="s">
        <v>43</v>
      </c>
      <c r="B11" s="9"/>
      <c r="C11" s="9"/>
      <c r="D11" s="9"/>
      <c r="E11" s="10"/>
      <c r="F11" s="10"/>
      <c r="G11" s="10"/>
    </row>
    <row r="12" spans="1:7" ht="15" x14ac:dyDescent="0.15">
      <c r="A12" s="1" t="s">
        <v>36</v>
      </c>
      <c r="B12" s="9">
        <v>27897</v>
      </c>
      <c r="C12" s="9">
        <v>4059</v>
      </c>
      <c r="D12" s="9"/>
      <c r="E12" s="19">
        <v>1</v>
      </c>
      <c r="F12" s="10"/>
      <c r="G12" s="10"/>
    </row>
    <row r="13" spans="1:7" x14ac:dyDescent="0.15">
      <c r="A13" s="1" t="s">
        <v>22</v>
      </c>
      <c r="B13" s="22">
        <v>6029</v>
      </c>
      <c r="C13" s="22">
        <v>2637</v>
      </c>
      <c r="D13" s="22"/>
      <c r="E13" s="19">
        <v>0.33289999999999997</v>
      </c>
      <c r="F13" s="19">
        <v>0.31459999999999999</v>
      </c>
      <c r="G13" s="19">
        <v>0.35220000000000001</v>
      </c>
    </row>
    <row r="14" spans="1:7" x14ac:dyDescent="0.15">
      <c r="A14" s="1" t="s">
        <v>23</v>
      </c>
      <c r="B14" s="14">
        <v>808</v>
      </c>
      <c r="C14" s="14">
        <v>151</v>
      </c>
      <c r="D14" s="9"/>
      <c r="E14" s="19">
        <v>0.77910000000000001</v>
      </c>
      <c r="F14" s="19">
        <v>0.65280000000000005</v>
      </c>
      <c r="G14" s="19">
        <v>0.92979999999999996</v>
      </c>
    </row>
    <row r="15" spans="1:7" x14ac:dyDescent="0.15">
      <c r="A15" s="1" t="s">
        <v>24</v>
      </c>
      <c r="B15" s="9">
        <v>439</v>
      </c>
      <c r="C15" s="9">
        <v>48</v>
      </c>
      <c r="D15" s="9"/>
      <c r="E15" s="10">
        <f>EXP(0.2864)</f>
        <v>1.3316249987359887</v>
      </c>
      <c r="F15" s="10">
        <f>EXP(0.2864-1.96*0.1529)</f>
        <v>0.98680384292930268</v>
      </c>
      <c r="G15" s="10">
        <f>EXP(0.2864+1.96*0.1529)</f>
        <v>1.7969378108569658</v>
      </c>
    </row>
    <row r="16" spans="1:7" x14ac:dyDescent="0.15">
      <c r="A16" s="1" t="s">
        <v>30</v>
      </c>
      <c r="B16" s="9">
        <v>1513</v>
      </c>
      <c r="C16" s="9">
        <v>486</v>
      </c>
      <c r="D16" s="9"/>
      <c r="E16" s="10">
        <f>EXP(-0.7913)</f>
        <v>0.45325518038121193</v>
      </c>
      <c r="F16" s="10">
        <f>EXP(-0.7913-1.96*0.0548)</f>
        <v>0.40709528722322014</v>
      </c>
      <c r="G16" s="10">
        <f>EXP(-0.7913+1.96*0.0548)</f>
        <v>0.5046490710902215</v>
      </c>
    </row>
    <row r="17" spans="1:7" x14ac:dyDescent="0.15">
      <c r="A17" s="1" t="s">
        <v>40</v>
      </c>
      <c r="B17" s="14">
        <v>1096</v>
      </c>
      <c r="C17" s="14">
        <v>305</v>
      </c>
      <c r="D17" s="14"/>
      <c r="E17" s="19">
        <v>0.5232</v>
      </c>
      <c r="F17" s="19">
        <v>0.45889999999999997</v>
      </c>
      <c r="G17" s="19">
        <v>0.59650000000000003</v>
      </c>
    </row>
    <row r="18" spans="1:7" x14ac:dyDescent="0.15">
      <c r="A18" t="s">
        <v>21</v>
      </c>
      <c r="B18" s="9"/>
      <c r="C18" s="9"/>
      <c r="D18" s="10"/>
      <c r="E18" s="10"/>
      <c r="F18" s="10"/>
      <c r="G18" s="10"/>
    </row>
    <row r="19" spans="1:7" ht="15" x14ac:dyDescent="0.15">
      <c r="A19" s="1" t="s">
        <v>35</v>
      </c>
      <c r="B19" s="9">
        <v>33562</v>
      </c>
      <c r="C19" s="9">
        <v>7140</v>
      </c>
      <c r="D19" s="19"/>
      <c r="E19" s="19">
        <v>1</v>
      </c>
      <c r="F19" s="19"/>
      <c r="G19" s="10"/>
    </row>
    <row r="20" spans="1:7" ht="15.75" customHeight="1" x14ac:dyDescent="0.15">
      <c r="A20" s="8" t="s">
        <v>4</v>
      </c>
      <c r="B20" s="11">
        <v>4691</v>
      </c>
      <c r="C20" s="11">
        <v>1433</v>
      </c>
      <c r="D20" s="17"/>
      <c r="E20" s="17">
        <v>0.7</v>
      </c>
      <c r="F20" s="17">
        <v>0.65300000000000002</v>
      </c>
      <c r="G20" s="17">
        <v>0.74</v>
      </c>
    </row>
    <row r="21" spans="1:7" ht="42" customHeight="1" x14ac:dyDescent="0.15">
      <c r="A21" s="45" t="s">
        <v>33</v>
      </c>
      <c r="B21" s="42"/>
      <c r="C21" s="42"/>
      <c r="D21" s="42"/>
      <c r="E21" s="42"/>
      <c r="F21" s="42"/>
      <c r="G21" s="42"/>
    </row>
    <row r="22" spans="1:7" ht="15" x14ac:dyDescent="0.15">
      <c r="A22" t="s">
        <v>34</v>
      </c>
    </row>
    <row r="23" spans="1:7" ht="47.25" customHeight="1" x14ac:dyDescent="0.15"/>
  </sheetData>
  <mergeCells count="3">
    <mergeCell ref="A21:G21"/>
    <mergeCell ref="A1:G1"/>
    <mergeCell ref="F2:G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8A6-9715-4E48-B5BF-2D794EA24160}">
  <dimension ref="A1:X34"/>
  <sheetViews>
    <sheetView tabSelected="1" workbookViewId="0">
      <selection activeCell="O33" sqref="O33"/>
    </sheetView>
  </sheetViews>
  <sheetFormatPr baseColWidth="10" defaultColWidth="8.83203125" defaultRowHeight="13" x14ac:dyDescent="0.15"/>
  <cols>
    <col min="1" max="1" width="8" customWidth="1"/>
    <col min="2" max="2" width="8.5" bestFit="1" customWidth="1"/>
    <col min="3" max="3" width="6.1640625" bestFit="1" customWidth="1"/>
    <col min="4" max="4" width="5.5" bestFit="1" customWidth="1"/>
    <col min="5" max="5" width="1.33203125" customWidth="1"/>
    <col min="6" max="6" width="8.5" bestFit="1" customWidth="1"/>
    <col min="7" max="8" width="5.5" bestFit="1" customWidth="1"/>
    <col min="9" max="9" width="1" customWidth="1"/>
    <col min="10" max="10" width="8.5" bestFit="1" customWidth="1"/>
    <col min="11" max="11" width="6.1640625" bestFit="1" customWidth="1"/>
    <col min="12" max="12" width="5.5" bestFit="1" customWidth="1"/>
    <col min="13" max="13" width="1.5" customWidth="1"/>
    <col min="14" max="14" width="9" customWidth="1"/>
    <col min="15" max="15" width="6.6640625" customWidth="1"/>
    <col min="16" max="16" width="6.5" customWidth="1"/>
    <col min="17" max="17" width="1.1640625" customWidth="1"/>
    <col min="18" max="18" width="8.5" bestFit="1" customWidth="1"/>
    <col min="19" max="20" width="6.5" bestFit="1" customWidth="1"/>
    <col min="21" max="21" width="1.33203125" customWidth="1"/>
    <col min="22" max="22" width="8.5" bestFit="1" customWidth="1"/>
    <col min="23" max="24" width="6.5" bestFit="1" customWidth="1"/>
  </cols>
  <sheetData>
    <row r="1" spans="1:24" x14ac:dyDescent="0.15">
      <c r="A1" s="23" t="s">
        <v>67</v>
      </c>
      <c r="B1" s="23"/>
    </row>
    <row r="2" spans="1:24" x14ac:dyDescent="0.15">
      <c r="A2" s="24"/>
      <c r="B2" s="47" t="s">
        <v>48</v>
      </c>
      <c r="C2" s="47"/>
      <c r="D2" s="47"/>
      <c r="E2" s="25"/>
      <c r="F2" s="47" t="s">
        <v>49</v>
      </c>
      <c r="G2" s="47"/>
      <c r="H2" s="47"/>
      <c r="I2" s="25"/>
      <c r="J2" s="47" t="s">
        <v>50</v>
      </c>
      <c r="K2" s="47"/>
      <c r="L2" s="47"/>
      <c r="M2" s="25"/>
      <c r="N2" s="47" t="s">
        <v>51</v>
      </c>
      <c r="O2" s="47"/>
      <c r="P2" s="47"/>
      <c r="Q2" s="25"/>
      <c r="R2" s="47" t="s">
        <v>52</v>
      </c>
      <c r="S2" s="47"/>
      <c r="T2" s="47"/>
      <c r="U2" s="25"/>
      <c r="V2" s="47" t="s">
        <v>53</v>
      </c>
      <c r="W2" s="47"/>
      <c r="X2" s="47"/>
    </row>
    <row r="3" spans="1:24" x14ac:dyDescent="0.15">
      <c r="A3" s="26"/>
      <c r="B3" s="27" t="s">
        <v>54</v>
      </c>
      <c r="C3" s="46" t="s">
        <v>11</v>
      </c>
      <c r="D3" s="46"/>
      <c r="E3" s="27"/>
      <c r="F3" s="27" t="s">
        <v>54</v>
      </c>
      <c r="G3" s="46" t="s">
        <v>11</v>
      </c>
      <c r="H3" s="46"/>
      <c r="I3" s="27"/>
      <c r="J3" s="27" t="s">
        <v>54</v>
      </c>
      <c r="K3" s="48" t="s">
        <v>11</v>
      </c>
      <c r="L3" s="48"/>
      <c r="M3" s="27"/>
      <c r="N3" s="27" t="s">
        <v>54</v>
      </c>
      <c r="O3" s="46" t="s">
        <v>11</v>
      </c>
      <c r="P3" s="46"/>
      <c r="Q3" s="27"/>
      <c r="R3" s="27" t="s">
        <v>54</v>
      </c>
      <c r="S3" s="46" t="s">
        <v>11</v>
      </c>
      <c r="T3" s="46"/>
      <c r="U3" s="27"/>
      <c r="V3" s="27" t="s">
        <v>54</v>
      </c>
      <c r="W3" s="46" t="s">
        <v>11</v>
      </c>
      <c r="X3" s="46"/>
    </row>
    <row r="4" spans="1:24" x14ac:dyDescent="0.15">
      <c r="A4" t="s">
        <v>55</v>
      </c>
    </row>
    <row r="5" spans="1:24" x14ac:dyDescent="0.15">
      <c r="A5">
        <v>16</v>
      </c>
      <c r="B5" s="12">
        <v>0.1241657</v>
      </c>
      <c r="C5" s="15">
        <v>0.1197</v>
      </c>
      <c r="D5" s="15">
        <v>0.12859999999999999</v>
      </c>
      <c r="F5" s="20">
        <v>0.14860000000000001</v>
      </c>
      <c r="G5" s="15">
        <v>0.13980000000000001</v>
      </c>
      <c r="H5" s="15">
        <v>0.15759999999999999</v>
      </c>
      <c r="J5" s="12">
        <v>0.14774229999999999</v>
      </c>
      <c r="K5" s="15">
        <v>0.13880000000000001</v>
      </c>
      <c r="L5" s="15">
        <v>0.15670000000000001</v>
      </c>
      <c r="M5">
        <v>0.1477</v>
      </c>
      <c r="N5" s="20">
        <v>0.1318493</v>
      </c>
      <c r="O5" s="15">
        <v>0.10440000000000001</v>
      </c>
      <c r="P5" s="15">
        <v>0.1593</v>
      </c>
      <c r="R5" s="12">
        <v>0.12272429999999999</v>
      </c>
      <c r="S5" s="15">
        <v>0.11749999999999999</v>
      </c>
      <c r="T5" s="15">
        <v>0.128</v>
      </c>
      <c r="V5" s="12">
        <v>0.15732489999999999</v>
      </c>
      <c r="W5" s="15">
        <v>0.14829999999999999</v>
      </c>
      <c r="X5" s="15">
        <v>0.16639999999999999</v>
      </c>
    </row>
    <row r="6" spans="1:24" x14ac:dyDescent="0.15">
      <c r="A6">
        <v>26</v>
      </c>
      <c r="B6" s="12">
        <v>0.10188270000000001</v>
      </c>
      <c r="C6" s="15">
        <v>9.7500000000000003E-2</v>
      </c>
      <c r="D6" s="15">
        <v>0.106212</v>
      </c>
      <c r="F6" s="20">
        <v>0.1072</v>
      </c>
      <c r="G6" s="15">
        <v>0.1043</v>
      </c>
      <c r="H6" s="15">
        <v>0.11020000000000001</v>
      </c>
      <c r="J6" s="20">
        <v>0.10249999999999999</v>
      </c>
      <c r="K6" s="15">
        <v>9.7799999999999998E-2</v>
      </c>
      <c r="L6" s="15">
        <v>0.10730000000000001</v>
      </c>
      <c r="N6" s="12">
        <v>0.11006100000000001</v>
      </c>
      <c r="O6" s="15">
        <v>9.9400000000000002E-2</v>
      </c>
      <c r="P6" s="15">
        <v>0.1208</v>
      </c>
      <c r="R6" s="12">
        <v>0.114</v>
      </c>
      <c r="S6" s="15">
        <v>0.1114</v>
      </c>
      <c r="T6" s="15">
        <v>0.1168</v>
      </c>
      <c r="V6" s="12">
        <v>0.1030629</v>
      </c>
      <c r="W6" s="15">
        <v>9.9699999999999997E-2</v>
      </c>
      <c r="X6" s="15">
        <v>0.10639999999999999</v>
      </c>
    </row>
    <row r="7" spans="1:24" x14ac:dyDescent="0.15">
      <c r="A7">
        <v>40</v>
      </c>
      <c r="B7" s="12">
        <v>0.1118628</v>
      </c>
      <c r="C7" s="15">
        <v>0.107</v>
      </c>
      <c r="D7" s="15">
        <v>0.1167</v>
      </c>
      <c r="F7" s="12">
        <v>0.11840000000000001</v>
      </c>
      <c r="G7" s="15">
        <v>0.111</v>
      </c>
      <c r="H7" s="15">
        <v>0.12590000000000001</v>
      </c>
      <c r="J7" s="20">
        <v>0.14199999999999999</v>
      </c>
      <c r="K7" s="15">
        <v>0.12239999999999999</v>
      </c>
      <c r="L7" s="15">
        <v>0.16159999999999999</v>
      </c>
      <c r="N7" s="20">
        <v>0.1353066</v>
      </c>
      <c r="O7" s="15">
        <v>0.1045</v>
      </c>
      <c r="P7" s="15">
        <v>0.1661</v>
      </c>
      <c r="R7" s="12">
        <v>0.1020843</v>
      </c>
      <c r="S7" s="15">
        <v>9.6299999999999997E-2</v>
      </c>
      <c r="T7" s="15">
        <v>0.10780000000000001</v>
      </c>
      <c r="V7" s="12">
        <v>0.13626250000000001</v>
      </c>
      <c r="W7" s="15">
        <v>0.12659999999999999</v>
      </c>
      <c r="X7" s="15">
        <v>0.14599999999999999</v>
      </c>
    </row>
    <row r="8" spans="1:24" x14ac:dyDescent="0.15">
      <c r="A8" t="s">
        <v>0</v>
      </c>
      <c r="B8" s="15"/>
      <c r="C8" s="15"/>
      <c r="D8" s="15"/>
      <c r="F8" s="12"/>
      <c r="G8" s="15"/>
      <c r="H8" s="15"/>
      <c r="J8" s="15"/>
      <c r="K8" s="15"/>
      <c r="L8" s="15"/>
      <c r="N8" s="15"/>
      <c r="O8" s="15"/>
      <c r="P8" s="15"/>
      <c r="R8" s="15"/>
      <c r="S8" s="15"/>
      <c r="T8" s="15"/>
      <c r="V8" s="15"/>
      <c r="W8" s="15"/>
      <c r="X8" s="15"/>
    </row>
    <row r="9" spans="1:24" x14ac:dyDescent="0.15">
      <c r="A9" s="28" t="s">
        <v>56</v>
      </c>
      <c r="B9" s="12">
        <v>2.1999999999999999E-2</v>
      </c>
      <c r="C9" s="12">
        <v>1.6E-2</v>
      </c>
      <c r="D9" s="12">
        <v>2.8524000000000001E-2</v>
      </c>
      <c r="F9" s="12">
        <v>4.1799999999999997E-2</v>
      </c>
      <c r="G9" s="20">
        <v>3.1992E-2</v>
      </c>
      <c r="H9" s="20">
        <v>5.0807999999999999E-2</v>
      </c>
      <c r="J9" s="12">
        <v>4.51931E-2</v>
      </c>
      <c r="K9" s="12">
        <v>3.5041280000000001E-2</v>
      </c>
      <c r="L9" s="12">
        <v>5.5344919999999999E-2</v>
      </c>
      <c r="N9" s="12">
        <v>2.1939E-2</v>
      </c>
      <c r="O9" s="20">
        <v>-7.6681479999999996E-3</v>
      </c>
      <c r="P9" s="20">
        <v>5.1244748E-2</v>
      </c>
      <c r="R9" s="12">
        <v>8.6E-3</v>
      </c>
      <c r="S9" s="12">
        <v>4.5682800000000001E-3</v>
      </c>
      <c r="T9" s="12">
        <v>1.2631720000000001E-2</v>
      </c>
      <c r="V9" s="12">
        <v>5.4261999999999998E-2</v>
      </c>
      <c r="W9" s="15">
        <v>4.4200000000000003E-2</v>
      </c>
      <c r="X9" s="15">
        <v>6.4299999999999996E-2</v>
      </c>
    </row>
    <row r="10" spans="1:24" x14ac:dyDescent="0.15">
      <c r="A10" s="29" t="s">
        <v>57</v>
      </c>
      <c r="B10" s="18">
        <v>0.01</v>
      </c>
      <c r="C10" s="18">
        <v>3.4491840000000001E-3</v>
      </c>
      <c r="D10" s="18">
        <v>1.6511016E-2</v>
      </c>
      <c r="E10" s="18"/>
      <c r="F10" s="18">
        <v>1.12E-2</v>
      </c>
      <c r="G10" s="30">
        <v>3.1640000000000001E-3</v>
      </c>
      <c r="H10" s="30">
        <v>1.9236E-2</v>
      </c>
      <c r="I10" s="18"/>
      <c r="J10" s="18">
        <v>3.9450800000000001E-2</v>
      </c>
      <c r="K10" s="18">
        <v>1.9309880000000001E-2</v>
      </c>
      <c r="L10" s="18">
        <v>5.9663920000000002E-2</v>
      </c>
      <c r="M10" s="30"/>
      <c r="N10" s="18">
        <v>2.4938999999999999E-2</v>
      </c>
      <c r="O10" s="30">
        <v>-7.3880080000000015E-3</v>
      </c>
      <c r="P10" s="30">
        <v>5.7879208000000001E-2</v>
      </c>
      <c r="Q10" s="30"/>
      <c r="R10" s="18">
        <v>-1.204E-2</v>
      </c>
      <c r="S10" s="18">
        <v>-1.7999999999999999E-2</v>
      </c>
      <c r="T10" s="18">
        <v>-6.0000000000000001E-3</v>
      </c>
      <c r="U10" s="26"/>
      <c r="V10" s="18">
        <v>3.3199600000000003E-2</v>
      </c>
      <c r="W10" s="31">
        <v>2.1899999999999999E-2</v>
      </c>
      <c r="X10" s="31">
        <v>4.4600000000000001E-2</v>
      </c>
    </row>
    <row r="13" spans="1:24" x14ac:dyDescent="0.15">
      <c r="A13" s="23" t="s">
        <v>68</v>
      </c>
      <c r="B13" s="23"/>
    </row>
    <row r="14" spans="1:24" x14ac:dyDescent="0.15">
      <c r="A14" s="24"/>
      <c r="B14" s="47" t="s">
        <v>58</v>
      </c>
      <c r="C14" s="47"/>
      <c r="D14" s="47"/>
      <c r="E14" s="25"/>
      <c r="F14" s="47" t="s">
        <v>59</v>
      </c>
      <c r="G14" s="47"/>
      <c r="H14" s="47"/>
      <c r="I14" s="25"/>
      <c r="J14" s="47" t="s">
        <v>60</v>
      </c>
      <c r="K14" s="47"/>
      <c r="L14" s="47"/>
      <c r="M14" s="25"/>
      <c r="N14" s="47" t="s">
        <v>61</v>
      </c>
      <c r="O14" s="47"/>
      <c r="P14" s="47"/>
      <c r="Q14" s="25"/>
      <c r="R14" s="47" t="s">
        <v>62</v>
      </c>
      <c r="S14" s="47"/>
      <c r="T14" s="47"/>
      <c r="U14" s="25"/>
      <c r="V14" s="47" t="s">
        <v>63</v>
      </c>
      <c r="W14" s="47"/>
      <c r="X14" s="47"/>
    </row>
    <row r="15" spans="1:24" x14ac:dyDescent="0.15">
      <c r="A15" s="26"/>
      <c r="B15" s="27" t="s">
        <v>54</v>
      </c>
      <c r="C15" s="46" t="s">
        <v>11</v>
      </c>
      <c r="D15" s="46"/>
      <c r="E15" s="27"/>
      <c r="F15" s="27" t="s">
        <v>54</v>
      </c>
      <c r="G15" s="46" t="s">
        <v>11</v>
      </c>
      <c r="H15" s="46"/>
      <c r="I15" s="27"/>
      <c r="J15" s="27" t="s">
        <v>54</v>
      </c>
      <c r="K15" s="48" t="s">
        <v>11</v>
      </c>
      <c r="L15" s="48"/>
      <c r="M15" s="27"/>
      <c r="N15" s="27" t="s">
        <v>54</v>
      </c>
      <c r="O15" s="46" t="s">
        <v>11</v>
      </c>
      <c r="P15" s="46"/>
      <c r="Q15" s="27"/>
      <c r="R15" s="27" t="s">
        <v>54</v>
      </c>
      <c r="S15" s="46" t="s">
        <v>11</v>
      </c>
      <c r="T15" s="46"/>
      <c r="U15" s="27"/>
      <c r="V15" s="27" t="s">
        <v>54</v>
      </c>
      <c r="W15" s="46" t="s">
        <v>11</v>
      </c>
      <c r="X15" s="46"/>
    </row>
    <row r="16" spans="1:24" x14ac:dyDescent="0.15">
      <c r="A16" t="s">
        <v>55</v>
      </c>
    </row>
    <row r="17" spans="1:24" x14ac:dyDescent="0.15">
      <c r="A17">
        <v>16</v>
      </c>
      <c r="B17" s="32"/>
      <c r="C17" s="33"/>
      <c r="D17" s="33"/>
      <c r="E17" s="33"/>
      <c r="F17" s="32"/>
      <c r="G17" s="33"/>
      <c r="H17" s="33"/>
      <c r="I17" s="33"/>
      <c r="J17" s="32"/>
      <c r="K17" s="33"/>
      <c r="L17" s="33"/>
      <c r="M17" s="33"/>
      <c r="N17" s="32"/>
      <c r="O17" s="33"/>
      <c r="P17" s="33"/>
      <c r="R17" s="12">
        <v>0.124593854</v>
      </c>
      <c r="S17" s="15">
        <v>0.1188</v>
      </c>
      <c r="T17" s="15">
        <v>0.13070000000000001</v>
      </c>
      <c r="V17" s="12">
        <v>0.16164252800000001</v>
      </c>
      <c r="W17" s="15">
        <v>0.1515</v>
      </c>
      <c r="X17" s="15">
        <v>0.17249999999999999</v>
      </c>
    </row>
    <row r="18" spans="1:24" x14ac:dyDescent="0.15">
      <c r="A18">
        <v>26</v>
      </c>
      <c r="B18" s="32"/>
      <c r="C18" s="33"/>
      <c r="D18" s="33"/>
      <c r="E18" s="33"/>
      <c r="F18" s="32"/>
      <c r="G18" s="33"/>
      <c r="H18" s="33"/>
      <c r="I18" s="33"/>
      <c r="J18" s="32"/>
      <c r="K18" s="33"/>
      <c r="L18" s="33"/>
      <c r="M18" s="33"/>
      <c r="N18" s="32"/>
      <c r="O18" s="33"/>
      <c r="P18" s="33"/>
      <c r="R18" s="12">
        <v>0.11410741000000001</v>
      </c>
      <c r="S18" s="15">
        <v>0.1115</v>
      </c>
      <c r="T18" s="15">
        <v>0.1168</v>
      </c>
      <c r="V18" s="12">
        <v>0.103419887</v>
      </c>
      <c r="W18" s="15">
        <v>0.1003</v>
      </c>
      <c r="X18" s="15">
        <v>0.1066</v>
      </c>
    </row>
    <row r="19" spans="1:24" x14ac:dyDescent="0.15">
      <c r="A19">
        <v>40</v>
      </c>
      <c r="B19" s="32"/>
      <c r="C19" s="33"/>
      <c r="D19" s="33"/>
      <c r="E19" s="33"/>
      <c r="F19" s="32"/>
      <c r="G19" s="33"/>
      <c r="H19" s="33"/>
      <c r="I19" s="33"/>
      <c r="J19" s="32"/>
      <c r="K19" s="33"/>
      <c r="L19" s="33"/>
      <c r="M19" s="33"/>
      <c r="N19" s="32"/>
      <c r="O19" s="33"/>
      <c r="P19" s="33"/>
      <c r="R19" s="12">
        <v>0.10088237999999999</v>
      </c>
      <c r="S19" s="15">
        <v>9.5299999999999996E-2</v>
      </c>
      <c r="T19" s="15">
        <v>0.10680000000000001</v>
      </c>
      <c r="V19" s="12">
        <v>0.13491477399999999</v>
      </c>
      <c r="W19" s="15">
        <v>0.1255</v>
      </c>
      <c r="X19" s="15">
        <v>0.14510000000000001</v>
      </c>
    </row>
    <row r="20" spans="1:24" x14ac:dyDescent="0.15">
      <c r="A20" t="s">
        <v>1</v>
      </c>
      <c r="E20" s="34"/>
      <c r="F20" s="35"/>
      <c r="G20" s="34"/>
      <c r="H20" s="34"/>
      <c r="I20" s="34"/>
    </row>
    <row r="21" spans="1:24" x14ac:dyDescent="0.15">
      <c r="A21" s="28" t="s">
        <v>56</v>
      </c>
      <c r="B21" s="19">
        <v>1.2187124102713593</v>
      </c>
      <c r="C21" s="19">
        <v>1.1523945512026621</v>
      </c>
      <c r="D21" s="19">
        <v>1.2888467212894916</v>
      </c>
      <c r="E21" s="10"/>
      <c r="F21" s="10">
        <v>1.3863184</v>
      </c>
      <c r="G21" s="10">
        <v>1.29784582</v>
      </c>
      <c r="H21" s="10">
        <v>1.4808220400000001</v>
      </c>
      <c r="I21" s="10">
        <v>0</v>
      </c>
      <c r="J21" s="19">
        <v>1.4406966769064049</v>
      </c>
      <c r="K21" s="19">
        <v>1.3346749512555129</v>
      </c>
      <c r="L21" s="19">
        <v>1.5551403829798851</v>
      </c>
      <c r="M21" s="19"/>
      <c r="N21" s="19">
        <v>1.1979660974471955</v>
      </c>
      <c r="O21" s="19">
        <v>0.95206620075526216</v>
      </c>
      <c r="P21" s="19">
        <v>1.5073770810206253</v>
      </c>
      <c r="R21" s="10">
        <v>1.0919444</v>
      </c>
      <c r="S21" s="10">
        <v>1.0531159999999999</v>
      </c>
      <c r="T21" s="10">
        <v>1.1351899999999999</v>
      </c>
      <c r="V21" s="10">
        <v>1.56297335</v>
      </c>
      <c r="W21" s="19">
        <v>1.4484999999999999</v>
      </c>
      <c r="X21" s="19">
        <v>1.6865000000000001</v>
      </c>
    </row>
    <row r="22" spans="1:24" x14ac:dyDescent="0.15">
      <c r="A22" s="29" t="s">
        <v>57</v>
      </c>
      <c r="B22" s="36">
        <v>1.0979564727528848</v>
      </c>
      <c r="C22" s="36">
        <v>1.0329603891994263</v>
      </c>
      <c r="D22" s="36">
        <v>1.1670422493105079</v>
      </c>
      <c r="E22" s="17"/>
      <c r="F22" s="36">
        <v>1.104484599094085</v>
      </c>
      <c r="G22" s="36">
        <v>1.0312179506229389</v>
      </c>
      <c r="H22" s="36">
        <v>1.1829567444002618</v>
      </c>
      <c r="I22" s="17"/>
      <c r="J22" s="17">
        <v>1.3850528499999999</v>
      </c>
      <c r="K22" s="17">
        <v>1.1973144600000001</v>
      </c>
      <c r="L22" s="17">
        <v>1.60222855</v>
      </c>
      <c r="M22" s="36"/>
      <c r="N22" s="36">
        <v>1.2293780609494021</v>
      </c>
      <c r="O22" s="36">
        <v>0.95960979182428496</v>
      </c>
      <c r="P22" s="36">
        <v>1.5749843630404099</v>
      </c>
      <c r="Q22" s="26"/>
      <c r="R22" s="17">
        <v>0.88413633999999997</v>
      </c>
      <c r="S22" s="17">
        <v>0.82975575000000001</v>
      </c>
      <c r="T22" s="17">
        <v>0.93354700000000002</v>
      </c>
      <c r="U22" s="26"/>
      <c r="V22" s="17">
        <v>1.3045341399999999</v>
      </c>
      <c r="W22" s="36">
        <v>1.1976</v>
      </c>
      <c r="X22" s="36">
        <v>1.421</v>
      </c>
    </row>
    <row r="24" spans="1:24" x14ac:dyDescent="0.15">
      <c r="A24" s="23"/>
    </row>
    <row r="25" spans="1:24" x14ac:dyDescent="0.15">
      <c r="A25" s="23" t="s">
        <v>69</v>
      </c>
    </row>
    <row r="26" spans="1:24" x14ac:dyDescent="0.15">
      <c r="A26" s="24"/>
      <c r="B26" s="47" t="s">
        <v>64</v>
      </c>
      <c r="C26" s="47"/>
      <c r="D26" s="47"/>
      <c r="E26" s="25"/>
      <c r="F26" s="47" t="s">
        <v>65</v>
      </c>
      <c r="G26" s="47"/>
      <c r="H26" s="47"/>
      <c r="I26" s="25"/>
      <c r="J26" s="47" t="s">
        <v>66</v>
      </c>
      <c r="K26" s="47"/>
      <c r="L26" s="47"/>
      <c r="M26" s="37"/>
    </row>
    <row r="27" spans="1:24" x14ac:dyDescent="0.15">
      <c r="A27" s="26"/>
      <c r="B27" s="27" t="s">
        <v>54</v>
      </c>
      <c r="C27" s="48" t="s">
        <v>11</v>
      </c>
      <c r="D27" s="48"/>
      <c r="E27" s="27"/>
      <c r="F27" s="27" t="s">
        <v>54</v>
      </c>
      <c r="G27" s="48" t="s">
        <v>11</v>
      </c>
      <c r="H27" s="48"/>
      <c r="I27" s="27"/>
      <c r="J27" s="27" t="s">
        <v>54</v>
      </c>
      <c r="K27" s="48" t="s">
        <v>11</v>
      </c>
      <c r="L27" s="48"/>
      <c r="M27" s="2"/>
    </row>
    <row r="28" spans="1:24" x14ac:dyDescent="0.15">
      <c r="A28" t="s">
        <v>55</v>
      </c>
    </row>
    <row r="29" spans="1:24" x14ac:dyDescent="0.15">
      <c r="A29">
        <v>16</v>
      </c>
      <c r="B29" s="20">
        <v>0.16089999999999999</v>
      </c>
      <c r="C29" s="20">
        <v>0.14560000000000001</v>
      </c>
      <c r="D29" s="20">
        <v>0.1779</v>
      </c>
      <c r="E29" s="20"/>
      <c r="F29" s="20">
        <v>0.1648</v>
      </c>
      <c r="G29" s="20">
        <v>0.15179999999999999</v>
      </c>
      <c r="H29" s="20">
        <v>0.1789</v>
      </c>
      <c r="J29" s="20">
        <v>0.16370000000000001</v>
      </c>
      <c r="K29" s="20">
        <v>0.15140000000000001</v>
      </c>
      <c r="L29" s="20">
        <v>0.17699999999999999</v>
      </c>
      <c r="M29" s="6"/>
    </row>
    <row r="30" spans="1:24" x14ac:dyDescent="0.15">
      <c r="A30">
        <v>26</v>
      </c>
      <c r="B30" s="20">
        <v>0.1046</v>
      </c>
      <c r="C30" s="20">
        <v>0.1012</v>
      </c>
      <c r="D30" s="20">
        <v>0.1081</v>
      </c>
      <c r="E30" s="20"/>
      <c r="F30" s="20">
        <v>0.1024</v>
      </c>
      <c r="G30" s="20">
        <v>9.8599999999999993E-2</v>
      </c>
      <c r="H30" s="20">
        <v>0.10630000000000001</v>
      </c>
      <c r="J30" s="20">
        <v>0.1024</v>
      </c>
      <c r="K30" s="20">
        <v>9.8799999999999999E-2</v>
      </c>
      <c r="L30" s="20">
        <v>0.1061</v>
      </c>
      <c r="M30" s="6"/>
    </row>
    <row r="31" spans="1:24" x14ac:dyDescent="0.15">
      <c r="A31">
        <v>40</v>
      </c>
      <c r="B31" s="20">
        <v>0.13450000000000001</v>
      </c>
      <c r="C31" s="20">
        <v>0.12330000000000001</v>
      </c>
      <c r="D31" s="20">
        <v>0.1467</v>
      </c>
      <c r="E31" s="20"/>
      <c r="F31" s="20">
        <v>0.13200000000000001</v>
      </c>
      <c r="G31" s="20">
        <v>0.1215</v>
      </c>
      <c r="H31" s="20">
        <v>0.1434</v>
      </c>
      <c r="J31" s="20">
        <v>0.13320000000000001</v>
      </c>
      <c r="K31" s="20">
        <v>0.1226</v>
      </c>
      <c r="L31" s="20">
        <v>0.1447</v>
      </c>
      <c r="M31" s="6"/>
    </row>
    <row r="32" spans="1:24" x14ac:dyDescent="0.15">
      <c r="A32" t="s">
        <v>1</v>
      </c>
      <c r="B32" s="38"/>
      <c r="C32" s="38"/>
      <c r="D32" s="38"/>
      <c r="E32" s="38"/>
      <c r="F32" s="19"/>
      <c r="G32" s="38"/>
      <c r="H32" s="38"/>
      <c r="J32" s="19"/>
      <c r="K32" s="38"/>
      <c r="L32" s="38"/>
    </row>
    <row r="33" spans="1:13" x14ac:dyDescent="0.15">
      <c r="A33" s="28" t="s">
        <v>56</v>
      </c>
      <c r="B33" s="19">
        <v>1.5386</v>
      </c>
      <c r="C33" s="19">
        <v>1.3848</v>
      </c>
      <c r="D33" s="19">
        <v>1.7095</v>
      </c>
      <c r="E33" s="19"/>
      <c r="F33" s="19">
        <v>1.6101000000000001</v>
      </c>
      <c r="G33" s="19">
        <v>1.4585999999999999</v>
      </c>
      <c r="H33" s="19">
        <v>1.7773000000000001</v>
      </c>
      <c r="J33" s="19">
        <v>1.5991</v>
      </c>
      <c r="K33" s="19">
        <v>1.45</v>
      </c>
      <c r="L33" s="19">
        <v>1.7636000000000001</v>
      </c>
      <c r="M33" s="19"/>
    </row>
    <row r="34" spans="1:13" x14ac:dyDescent="0.15">
      <c r="A34" s="29" t="s">
        <v>57</v>
      </c>
      <c r="B34" s="36">
        <v>1.2857000000000001</v>
      </c>
      <c r="C34" s="36">
        <v>1.1718</v>
      </c>
      <c r="D34" s="36">
        <v>1.4106000000000001</v>
      </c>
      <c r="E34" s="36"/>
      <c r="F34" s="36">
        <v>1.2897000000000001</v>
      </c>
      <c r="G34" s="36">
        <v>1.1780999999999999</v>
      </c>
      <c r="H34" s="36">
        <v>1.4119999999999999</v>
      </c>
      <c r="I34" s="26"/>
      <c r="J34" s="36">
        <v>1.3011999999999999</v>
      </c>
      <c r="K34" s="36">
        <v>1.1882999999999999</v>
      </c>
      <c r="L34" s="36">
        <v>1.4248000000000001</v>
      </c>
      <c r="M34" s="19"/>
    </row>
  </sheetData>
  <mergeCells count="30">
    <mergeCell ref="B26:D26"/>
    <mergeCell ref="F26:H26"/>
    <mergeCell ref="J26:L26"/>
    <mergeCell ref="C27:D27"/>
    <mergeCell ref="G27:H27"/>
    <mergeCell ref="K27:L27"/>
    <mergeCell ref="W15:X15"/>
    <mergeCell ref="B14:D14"/>
    <mergeCell ref="F14:H14"/>
    <mergeCell ref="J14:L14"/>
    <mergeCell ref="N14:P14"/>
    <mergeCell ref="R14:T14"/>
    <mergeCell ref="V14:X14"/>
    <mergeCell ref="C15:D15"/>
    <mergeCell ref="G15:H15"/>
    <mergeCell ref="K15:L15"/>
    <mergeCell ref="O15:P15"/>
    <mergeCell ref="S15:T15"/>
    <mergeCell ref="W3:X3"/>
    <mergeCell ref="B2:D2"/>
    <mergeCell ref="F2:H2"/>
    <mergeCell ref="J2:L2"/>
    <mergeCell ref="N2:P2"/>
    <mergeCell ref="R2:T2"/>
    <mergeCell ref="V2:X2"/>
    <mergeCell ref="C3:D3"/>
    <mergeCell ref="G3:H3"/>
    <mergeCell ref="K3:L3"/>
    <mergeCell ref="O3:P3"/>
    <mergeCell ref="S3:T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251C11E0F6D4B9D2948176D0627E5" ma:contentTypeVersion="13" ma:contentTypeDescription="Create a new document." ma:contentTypeScope="" ma:versionID="8cef955b0b3db8c865177ac282e58b07">
  <xsd:schema xmlns:xsd="http://www.w3.org/2001/XMLSchema" xmlns:xs="http://www.w3.org/2001/XMLSchema" xmlns:p="http://schemas.microsoft.com/office/2006/metadata/properties" xmlns:ns3="cd26d42d-d760-4071-88bf-bf0230af318d" xmlns:ns4="ced215b4-b0f6-4a93-9883-1f291bab346a" targetNamespace="http://schemas.microsoft.com/office/2006/metadata/properties" ma:root="true" ma:fieldsID="264fe7609c31b0fa0f7c0842e1646015" ns3:_="" ns4:_="">
    <xsd:import namespace="cd26d42d-d760-4071-88bf-bf0230af318d"/>
    <xsd:import namespace="ced215b4-b0f6-4a93-9883-1f291bab34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6d42d-d760-4071-88bf-bf0230af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215b4-b0f6-4a93-9883-1f291bab3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62A37-228C-4C47-A51F-379F5E6C2E5A}">
  <ds:schemaRefs>
    <ds:schemaRef ds:uri="ced215b4-b0f6-4a93-9883-1f291bab346a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d26d42d-d760-4071-88bf-bf0230af318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412697B-4CDA-4972-A2F8-523AE647D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4AA1D5-BED0-4330-BE0B-82A8CF34A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6d42d-d760-4071-88bf-bf0230af318d"/>
    <ds:schemaRef ds:uri="ced215b4-b0f6-4a93-9883-1f291bab3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Tables 5 &amp; 6</vt:lpstr>
    </vt:vector>
  </TitlesOfParts>
  <Company>Rollins School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Howards</dc:creator>
  <cp:lastModifiedBy>Bryanda Guadalupe Amillano Meza</cp:lastModifiedBy>
  <cp:lastPrinted>2014-01-26T01:15:29Z</cp:lastPrinted>
  <dcterms:created xsi:type="dcterms:W3CDTF">2010-01-20T19:28:08Z</dcterms:created>
  <dcterms:modified xsi:type="dcterms:W3CDTF">2024-03-19T20:24:37Z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0x0101001DD251C11E0F6D4B9D2948176D0627E5</vt:lpwstr>
  </property>
</Properties>
</file>